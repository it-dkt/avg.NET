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ara\Documents\dev\avg.NET\"/>
    </mc:Choice>
  </mc:AlternateContent>
  <xr:revisionPtr revIDLastSave="0" documentId="13_ncr:1_{756D1817-3B88-424B-A9DD-E72747BB55BD}" xr6:coauthVersionLast="47" xr6:coauthVersionMax="47" xr10:uidLastSave="{00000000-0000-0000-0000-000000000000}"/>
  <bookViews>
    <workbookView xWindow="-108" yWindow="-108" windowWidth="23256" windowHeight="12456" xr2:uid="{C4015833-65BD-40DC-8A58-7AE6177D9A7D}"/>
  </bookViews>
  <sheets>
    <sheet name="SCENE" sheetId="3" r:id="rId1"/>
    <sheet name="COMMAND" sheetId="1" r:id="rId2"/>
    <sheet name="TARGET" sheetId="4" r:id="rId3"/>
    <sheet name="MESSAGE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" i="4"/>
  <c r="H3" i="4"/>
  <c r="I3" i="4"/>
  <c r="J3" i="4"/>
  <c r="L3" i="4"/>
  <c r="M3" i="4"/>
  <c r="N3" i="4"/>
  <c r="H4" i="4"/>
  <c r="I4" i="4"/>
  <c r="J4" i="4"/>
  <c r="L4" i="4"/>
  <c r="M4" i="4"/>
  <c r="N4" i="4"/>
  <c r="H5" i="4"/>
  <c r="I5" i="4"/>
  <c r="J5" i="4"/>
  <c r="L5" i="4"/>
  <c r="M5" i="4"/>
  <c r="N5" i="4"/>
  <c r="H6" i="4"/>
  <c r="I6" i="4"/>
  <c r="J6" i="4"/>
  <c r="L6" i="4"/>
  <c r="M6" i="4"/>
  <c r="N6" i="4"/>
  <c r="H7" i="4"/>
  <c r="I7" i="4"/>
  <c r="J7" i="4"/>
  <c r="L7" i="4"/>
  <c r="M7" i="4"/>
  <c r="N7" i="4"/>
  <c r="H8" i="4"/>
  <c r="I8" i="4"/>
  <c r="J8" i="4"/>
  <c r="L8" i="4"/>
  <c r="M8" i="4"/>
  <c r="N8" i="4"/>
  <c r="H9" i="4"/>
  <c r="I9" i="4"/>
  <c r="J9" i="4"/>
  <c r="L9" i="4"/>
  <c r="M9" i="4"/>
  <c r="N9" i="4"/>
  <c r="H10" i="4"/>
  <c r="I10" i="4"/>
  <c r="J10" i="4"/>
  <c r="L10" i="4"/>
  <c r="M10" i="4"/>
  <c r="N10" i="4"/>
  <c r="H11" i="4"/>
  <c r="I11" i="4"/>
  <c r="J11" i="4"/>
  <c r="L11" i="4"/>
  <c r="M11" i="4"/>
  <c r="N11" i="4"/>
  <c r="H12" i="4"/>
  <c r="I12" i="4"/>
  <c r="J12" i="4"/>
  <c r="L12" i="4"/>
  <c r="M12" i="4"/>
  <c r="N12" i="4"/>
  <c r="H13" i="4"/>
  <c r="I13" i="4"/>
  <c r="J13" i="4"/>
  <c r="L13" i="4"/>
  <c r="M13" i="4"/>
  <c r="N13" i="4"/>
  <c r="H14" i="4"/>
  <c r="I14" i="4"/>
  <c r="J14" i="4"/>
  <c r="L14" i="4"/>
  <c r="M14" i="4"/>
  <c r="N14" i="4"/>
  <c r="H15" i="4"/>
  <c r="I15" i="4"/>
  <c r="J15" i="4"/>
  <c r="L15" i="4"/>
  <c r="M15" i="4"/>
  <c r="N15" i="4"/>
  <c r="H16" i="4"/>
  <c r="I16" i="4"/>
  <c r="J16" i="4"/>
  <c r="L16" i="4"/>
  <c r="M16" i="4"/>
  <c r="N16" i="4"/>
  <c r="H17" i="4"/>
  <c r="I17" i="4"/>
  <c r="J17" i="4"/>
  <c r="L17" i="4"/>
  <c r="M17" i="4"/>
  <c r="N17" i="4"/>
  <c r="H18" i="4"/>
  <c r="I18" i="4"/>
  <c r="J18" i="4"/>
  <c r="L18" i="4"/>
  <c r="M18" i="4"/>
  <c r="N18" i="4"/>
  <c r="H19" i="4"/>
  <c r="I19" i="4"/>
  <c r="J19" i="4"/>
  <c r="L19" i="4"/>
  <c r="M19" i="4"/>
  <c r="N19" i="4"/>
  <c r="H20" i="4"/>
  <c r="I20" i="4"/>
  <c r="J20" i="4"/>
  <c r="L20" i="4"/>
  <c r="M20" i="4"/>
  <c r="N20" i="4"/>
  <c r="H21" i="4"/>
  <c r="I21" i="4"/>
  <c r="J21" i="4"/>
  <c r="L21" i="4"/>
  <c r="M21" i="4"/>
  <c r="N21" i="4"/>
  <c r="N2" i="4"/>
  <c r="L2" i="4"/>
  <c r="I2" i="4"/>
  <c r="J2" i="4"/>
  <c r="M2" i="4"/>
  <c r="H2" i="4"/>
  <c r="G3" i="3"/>
  <c r="G4" i="3"/>
  <c r="G5" i="3"/>
  <c r="G2" i="3"/>
  <c r="D3" i="3"/>
  <c r="E3" i="3"/>
  <c r="F3" i="3"/>
  <c r="D4" i="3"/>
  <c r="E4" i="3"/>
  <c r="F4" i="3"/>
  <c r="D5" i="3"/>
  <c r="E5" i="3"/>
  <c r="F5" i="3"/>
  <c r="E2" i="3"/>
  <c r="F2" i="3"/>
  <c r="D2" i="3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2" i="2"/>
  <c r="I3" i="2"/>
  <c r="J3" i="2"/>
  <c r="K3" i="2"/>
  <c r="L3" i="2"/>
  <c r="M3" i="2"/>
  <c r="N3" i="2"/>
  <c r="O3" i="2"/>
  <c r="P3" i="2"/>
  <c r="I4" i="2"/>
  <c r="J4" i="2"/>
  <c r="K4" i="2"/>
  <c r="L4" i="2"/>
  <c r="M4" i="2"/>
  <c r="N4" i="2"/>
  <c r="O4" i="2"/>
  <c r="P4" i="2"/>
  <c r="I5" i="2"/>
  <c r="J5" i="2"/>
  <c r="K5" i="2"/>
  <c r="L5" i="2"/>
  <c r="M5" i="2"/>
  <c r="N5" i="2"/>
  <c r="O5" i="2"/>
  <c r="P5" i="2"/>
  <c r="I6" i="2"/>
  <c r="J6" i="2"/>
  <c r="K6" i="2"/>
  <c r="L6" i="2"/>
  <c r="M6" i="2"/>
  <c r="N6" i="2"/>
  <c r="O6" i="2"/>
  <c r="P6" i="2"/>
  <c r="I7" i="2"/>
  <c r="J7" i="2"/>
  <c r="K7" i="2"/>
  <c r="L7" i="2"/>
  <c r="M7" i="2"/>
  <c r="N7" i="2"/>
  <c r="O7" i="2"/>
  <c r="P7" i="2"/>
  <c r="I8" i="2"/>
  <c r="J8" i="2"/>
  <c r="K8" i="2"/>
  <c r="L8" i="2"/>
  <c r="M8" i="2"/>
  <c r="N8" i="2"/>
  <c r="O8" i="2"/>
  <c r="P8" i="2"/>
  <c r="I9" i="2"/>
  <c r="J9" i="2"/>
  <c r="K9" i="2"/>
  <c r="L9" i="2"/>
  <c r="M9" i="2"/>
  <c r="N9" i="2"/>
  <c r="O9" i="2"/>
  <c r="P9" i="2"/>
  <c r="I10" i="2"/>
  <c r="J10" i="2"/>
  <c r="K10" i="2"/>
  <c r="L10" i="2"/>
  <c r="M10" i="2"/>
  <c r="N10" i="2"/>
  <c r="O10" i="2"/>
  <c r="P10" i="2"/>
  <c r="I11" i="2"/>
  <c r="J11" i="2"/>
  <c r="K11" i="2"/>
  <c r="L11" i="2"/>
  <c r="M11" i="2"/>
  <c r="N11" i="2"/>
  <c r="O11" i="2"/>
  <c r="P11" i="2"/>
  <c r="I12" i="2"/>
  <c r="J12" i="2"/>
  <c r="K12" i="2"/>
  <c r="L12" i="2"/>
  <c r="M12" i="2"/>
  <c r="N12" i="2"/>
  <c r="O12" i="2"/>
  <c r="P12" i="2"/>
  <c r="I13" i="2"/>
  <c r="J13" i="2"/>
  <c r="K13" i="2"/>
  <c r="L13" i="2"/>
  <c r="M13" i="2"/>
  <c r="N13" i="2"/>
  <c r="O13" i="2"/>
  <c r="P13" i="2"/>
  <c r="I14" i="2"/>
  <c r="J14" i="2"/>
  <c r="K14" i="2"/>
  <c r="L14" i="2"/>
  <c r="M14" i="2"/>
  <c r="N14" i="2"/>
  <c r="O14" i="2"/>
  <c r="P14" i="2"/>
  <c r="I15" i="2"/>
  <c r="J15" i="2"/>
  <c r="K15" i="2"/>
  <c r="L15" i="2"/>
  <c r="M15" i="2"/>
  <c r="N15" i="2"/>
  <c r="O15" i="2"/>
  <c r="P15" i="2"/>
  <c r="I16" i="2"/>
  <c r="J16" i="2"/>
  <c r="K16" i="2"/>
  <c r="L16" i="2"/>
  <c r="M16" i="2"/>
  <c r="N16" i="2"/>
  <c r="O16" i="2"/>
  <c r="P16" i="2"/>
  <c r="I17" i="2"/>
  <c r="J17" i="2"/>
  <c r="K17" i="2"/>
  <c r="L17" i="2"/>
  <c r="M17" i="2"/>
  <c r="N17" i="2"/>
  <c r="O17" i="2"/>
  <c r="P17" i="2"/>
  <c r="I18" i="2"/>
  <c r="J18" i="2"/>
  <c r="K18" i="2"/>
  <c r="L18" i="2"/>
  <c r="M18" i="2"/>
  <c r="N18" i="2"/>
  <c r="O18" i="2"/>
  <c r="P18" i="2"/>
  <c r="I19" i="2"/>
  <c r="J19" i="2"/>
  <c r="K19" i="2"/>
  <c r="L19" i="2"/>
  <c r="M19" i="2"/>
  <c r="N19" i="2"/>
  <c r="O19" i="2"/>
  <c r="P19" i="2"/>
  <c r="I20" i="2"/>
  <c r="J20" i="2"/>
  <c r="K20" i="2"/>
  <c r="L20" i="2"/>
  <c r="M20" i="2"/>
  <c r="N20" i="2"/>
  <c r="O20" i="2"/>
  <c r="P20" i="2"/>
  <c r="I21" i="2"/>
  <c r="J21" i="2"/>
  <c r="K21" i="2"/>
  <c r="L21" i="2"/>
  <c r="M21" i="2"/>
  <c r="N21" i="2"/>
  <c r="O21" i="2"/>
  <c r="P21" i="2"/>
  <c r="I22" i="2"/>
  <c r="J22" i="2"/>
  <c r="K22" i="2"/>
  <c r="L22" i="2"/>
  <c r="M22" i="2"/>
  <c r="N22" i="2"/>
  <c r="O22" i="2"/>
  <c r="P22" i="2"/>
  <c r="I23" i="2"/>
  <c r="J23" i="2"/>
  <c r="K23" i="2"/>
  <c r="L23" i="2"/>
  <c r="M23" i="2"/>
  <c r="N23" i="2"/>
  <c r="O23" i="2"/>
  <c r="P23" i="2"/>
  <c r="I24" i="2"/>
  <c r="J24" i="2"/>
  <c r="K24" i="2"/>
  <c r="L24" i="2"/>
  <c r="M24" i="2"/>
  <c r="N24" i="2"/>
  <c r="O24" i="2"/>
  <c r="P24" i="2"/>
  <c r="I25" i="2"/>
  <c r="J25" i="2"/>
  <c r="K25" i="2"/>
  <c r="L25" i="2"/>
  <c r="M25" i="2"/>
  <c r="N25" i="2"/>
  <c r="O25" i="2"/>
  <c r="P25" i="2"/>
  <c r="I26" i="2"/>
  <c r="J26" i="2"/>
  <c r="K26" i="2"/>
  <c r="L26" i="2"/>
  <c r="M26" i="2"/>
  <c r="N26" i="2"/>
  <c r="O26" i="2"/>
  <c r="P26" i="2"/>
  <c r="I27" i="2"/>
  <c r="J27" i="2"/>
  <c r="K27" i="2"/>
  <c r="L27" i="2"/>
  <c r="M27" i="2"/>
  <c r="N27" i="2"/>
  <c r="O27" i="2"/>
  <c r="P27" i="2"/>
  <c r="I28" i="2"/>
  <c r="J28" i="2"/>
  <c r="K28" i="2"/>
  <c r="L28" i="2"/>
  <c r="M28" i="2"/>
  <c r="N28" i="2"/>
  <c r="O28" i="2"/>
  <c r="P28" i="2"/>
  <c r="I29" i="2"/>
  <c r="J29" i="2"/>
  <c r="K29" i="2"/>
  <c r="L29" i="2"/>
  <c r="M29" i="2"/>
  <c r="N29" i="2"/>
  <c r="O29" i="2"/>
  <c r="P29" i="2"/>
  <c r="I30" i="2"/>
  <c r="J30" i="2"/>
  <c r="K30" i="2"/>
  <c r="L30" i="2"/>
  <c r="M30" i="2"/>
  <c r="N30" i="2"/>
  <c r="O30" i="2"/>
  <c r="P30" i="2"/>
  <c r="I31" i="2"/>
  <c r="J31" i="2"/>
  <c r="K31" i="2"/>
  <c r="L31" i="2"/>
  <c r="M31" i="2"/>
  <c r="N31" i="2"/>
  <c r="O31" i="2"/>
  <c r="P31" i="2"/>
  <c r="I32" i="2"/>
  <c r="J32" i="2"/>
  <c r="K32" i="2"/>
  <c r="L32" i="2"/>
  <c r="M32" i="2"/>
  <c r="N32" i="2"/>
  <c r="O32" i="2"/>
  <c r="P32" i="2"/>
  <c r="I33" i="2"/>
  <c r="J33" i="2"/>
  <c r="K33" i="2"/>
  <c r="L33" i="2"/>
  <c r="M33" i="2"/>
  <c r="N33" i="2"/>
  <c r="O33" i="2"/>
  <c r="P33" i="2"/>
  <c r="I34" i="2"/>
  <c r="J34" i="2"/>
  <c r="K34" i="2"/>
  <c r="L34" i="2"/>
  <c r="M34" i="2"/>
  <c r="N34" i="2"/>
  <c r="O34" i="2"/>
  <c r="P34" i="2"/>
  <c r="I35" i="2"/>
  <c r="J35" i="2"/>
  <c r="K35" i="2"/>
  <c r="L35" i="2"/>
  <c r="M35" i="2"/>
  <c r="N35" i="2"/>
  <c r="O35" i="2"/>
  <c r="P35" i="2"/>
  <c r="I36" i="2"/>
  <c r="J36" i="2"/>
  <c r="K36" i="2"/>
  <c r="L36" i="2"/>
  <c r="M36" i="2"/>
  <c r="N36" i="2"/>
  <c r="O36" i="2"/>
  <c r="P36" i="2"/>
  <c r="I37" i="2"/>
  <c r="J37" i="2"/>
  <c r="K37" i="2"/>
  <c r="L37" i="2"/>
  <c r="M37" i="2"/>
  <c r="N37" i="2"/>
  <c r="O37" i="2"/>
  <c r="P37" i="2"/>
  <c r="I38" i="2"/>
  <c r="J38" i="2"/>
  <c r="K38" i="2"/>
  <c r="L38" i="2"/>
  <c r="M38" i="2"/>
  <c r="N38" i="2"/>
  <c r="O38" i="2"/>
  <c r="P38" i="2"/>
  <c r="O2" i="2"/>
  <c r="P2" i="2"/>
  <c r="M2" i="2"/>
  <c r="N2" i="2"/>
  <c r="L2" i="2"/>
  <c r="J2" i="2"/>
  <c r="K2" i="2"/>
  <c r="I2" i="2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F6" i="1"/>
  <c r="G6" i="1"/>
  <c r="H6" i="1"/>
  <c r="I6" i="1"/>
  <c r="J6" i="1"/>
  <c r="K6" i="1"/>
  <c r="K2" i="1"/>
  <c r="J2" i="1"/>
  <c r="I2" i="1"/>
  <c r="G2" i="1"/>
  <c r="H2" i="1"/>
  <c r="F2" i="1"/>
  <c r="O17" i="4" l="1"/>
  <c r="O21" i="4"/>
  <c r="O9" i="4"/>
  <c r="O13" i="4"/>
  <c r="O10" i="4"/>
  <c r="O6" i="4"/>
  <c r="O15" i="4"/>
  <c r="O5" i="4"/>
  <c r="O18" i="4"/>
  <c r="O14" i="4"/>
  <c r="O19" i="4"/>
  <c r="O11" i="4"/>
  <c r="O7" i="4"/>
  <c r="O3" i="4"/>
  <c r="O2" i="4"/>
  <c r="O20" i="4"/>
  <c r="O16" i="4"/>
  <c r="O12" i="4"/>
  <c r="O8" i="4"/>
  <c r="O4" i="4"/>
</calcChain>
</file>

<file path=xl/sharedStrings.xml><?xml version="1.0" encoding="utf-8"?>
<sst xmlns="http://schemas.openxmlformats.org/spreadsheetml/2006/main" count="362" uniqueCount="97">
  <si>
    <t>SCENE_ID</t>
  </si>
  <si>
    <t>COMMAND_ID</t>
  </si>
  <si>
    <t>TEXT</t>
  </si>
  <si>
    <t>MODE</t>
  </si>
  <si>
    <t>SORT_KEY</t>
  </si>
  <si>
    <t>00000</t>
  </si>
  <si>
    <t>CHK</t>
  </si>
  <si>
    <t>調べる</t>
  </si>
  <si>
    <t>TLK</t>
  </si>
  <si>
    <t>話す</t>
  </si>
  <si>
    <t>USE</t>
  </si>
  <si>
    <t>使う</t>
  </si>
  <si>
    <t>MOV</t>
  </si>
  <si>
    <t>行く</t>
  </si>
  <si>
    <t>SHW</t>
  </si>
  <si>
    <t>見せる</t>
  </si>
  <si>
    <t>TARGET_ID</t>
  </si>
  <si>
    <t>FLAG</t>
  </si>
  <si>
    <t>SET_FLAG</t>
  </si>
  <si>
    <t>UNSET_FLAG</t>
  </si>
  <si>
    <t>EVENT</t>
  </si>
  <si>
    <t>^不気味な洋館があります。</t>
  </si>
  <si>
    <t>00001</t>
  </si>
  <si>
    <t>000</t>
  </si>
  <si>
    <t>getInitialCommands</t>
  </si>
  <si>
    <t>何を調べますか？</t>
  </si>
  <si>
    <t>NULL</t>
  </si>
  <si>
    <t>鍵が閉まっているようです。</t>
  </si>
  <si>
    <t>001</t>
  </si>
  <si>
    <t>鍵が落ちています。@あなたは、鍵を手に入れました！</t>
  </si>
  <si>
    <t>002</t>
  </si>
  <si>
    <t>洋館の鍵を開けました。</t>
  </si>
  <si>
    <t>何を使いますか？</t>
  </si>
  <si>
    <t>どこに行きますか？</t>
  </si>
  <si>
    <t>^洋館の居間です。</t>
  </si>
  <si>
    <t>00002</t>
  </si>
  <si>
    <t>特に何もないようです。</t>
  </si>
  <si>
    <t>鍵を開けたので、中に入ることができます。</t>
  </si>
  <si>
    <t>^男が来ました。@「ここで何をしている？」</t>
  </si>
  <si>
    <t>showPerson</t>
  </si>
  <si>
    <t>何について話しますか？</t>
  </si>
  <si>
    <t>「ここは、私の家だ。」</t>
  </si>
  <si>
    <t>「私は、ここに住んでいるのだ。」</t>
  </si>
  <si>
    <t>もう洋館の鍵は開いています。</t>
  </si>
  <si>
    <t>^寝室です。</t>
  </si>
  <si>
    <t>00003</t>
  </si>
  <si>
    <t>^居間です。@男がいます。</t>
  </si>
  <si>
    <t>枕の下を調べましたが、特に何もないようです。</t>
  </si>
  <si>
    <t>ベッドの下を調べましたが、何もないようです。</t>
  </si>
  <si>
    <t>暖炉の中に、本があります。@あなたは、本を手に入れました！</t>
  </si>
  <si>
    <t>003</t>
  </si>
  <si>
    <t>何を見せますか？</t>
  </si>
  <si>
    <t>ここでは使えません。</t>
  </si>
  <si>
    <t>もう何もないようです。</t>
  </si>
  <si>
    <t>「私は、わからない。」</t>
  </si>
  <si>
    <t>「それは、私の本だ。」;あなたは、本を男に返しました。@「ありがとう。」;「ソファの下にいいものがある。お返しにそれをあげよう。」@^男は行ってしまいました。</t>
  </si>
  <si>
    <t>hidePerson</t>
  </si>
  <si>
    <t>ソファの下に、宝物があります。@あなたは、宝物を手に入れました！</t>
  </si>
  <si>
    <t>あなたは家に帰ろうとしましたが、@家までの道を忘れてしまいました。</t>
  </si>
  <si>
    <t>^あなたは宝物を手に入れたので、家に帰りました。@--おわり--</t>
  </si>
  <si>
    <t>00004</t>
  </si>
  <si>
    <t>clearGame</t>
  </si>
  <si>
    <t>ポケットの中に、家までの地図がありました。@これで家に帰ることができます！</t>
  </si>
  <si>
    <t>調べるものがありません。</t>
  </si>
  <si>
    <t>999</t>
  </si>
  <si>
    <t>使うものがありません。</t>
  </si>
  <si>
    <t>話す相手が誰もいません。</t>
  </si>
  <si>
    <t>行くところがありません。</t>
  </si>
  <si>
    <t>見せるものを何も持っていません。。</t>
  </si>
  <si>
    <t>values</t>
    <phoneticPr fontId="1"/>
  </si>
  <si>
    <t>PATH</t>
  </si>
  <si>
    <t>../scenes/00001.html</t>
  </si>
  <si>
    <t>../scenes/00002.html</t>
  </si>
  <si>
    <t>../scenes/00003.html</t>
  </si>
  <si>
    <t>../scenes/00004.html</t>
  </si>
  <si>
    <t>DEST_SCENE_ID</t>
  </si>
  <si>
    <t>洋館</t>
  </si>
  <si>
    <t>辺り</t>
  </si>
  <si>
    <t>ソファ</t>
  </si>
  <si>
    <t>鍵</t>
  </si>
  <si>
    <t>洋館の中</t>
  </si>
  <si>
    <t>ランプ</t>
  </si>
  <si>
    <t>男</t>
  </si>
  <si>
    <t>洋館から出る</t>
  </si>
  <si>
    <t>寝室</t>
  </si>
  <si>
    <t>居間</t>
  </si>
  <si>
    <t>枕</t>
  </si>
  <si>
    <t>ベッド</t>
  </si>
  <si>
    <t>暖炉</t>
  </si>
  <si>
    <t>本</t>
  </si>
  <si>
    <t>家に帰る</t>
  </si>
  <si>
    <t>服のポケット</t>
  </si>
  <si>
    <t>FORBIDDEN</t>
    <phoneticPr fontId="1"/>
  </si>
  <si>
    <t>0</t>
    <phoneticPr fontId="1"/>
  </si>
  <si>
    <t>1</t>
    <phoneticPr fontId="1"/>
  </si>
  <si>
    <t>002</t>
    <phoneticPr fontId="1"/>
  </si>
  <si>
    <t>003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</si>
</sst>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0" fontId="0" fillId="4" borderId="0" xfId="0" applyFill="1">
      <alignment vertical="center"/>
    </xf>
    <xf numFmtId="49" fontId="2" fillId="4" borderId="0" xfId="0" applyNumberFormat="1" applyFont="1" applyFill="1" applyAlignment="1">
      <alignment horizontal="center" vertical="center"/>
    </xf>
    <xf numFmtId="49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C1DA-2D6E-419A-A879-2EA75B9E87CB}">
  <dimension ref="A1:G5"/>
  <sheetViews>
    <sheetView tabSelected="1" workbookViewId="0"/>
  </sheetViews>
  <sheetFormatPr defaultRowHeight="18" x14ac:dyDescent="0.45"/>
  <cols>
    <col min="1" max="1" width="9.8984375" style="1" bestFit="1" customWidth="1"/>
    <col min="2" max="2" width="6.09765625" bestFit="1" customWidth="1"/>
    <col min="3" max="3" width="19.8984375" bestFit="1" customWidth="1"/>
  </cols>
  <sheetData>
    <row r="1" spans="1:7" x14ac:dyDescent="0.45">
      <c r="A1" s="6" t="s">
        <v>0</v>
      </c>
      <c r="B1" s="7" t="s">
        <v>17</v>
      </c>
      <c r="C1" t="s">
        <v>70</v>
      </c>
      <c r="G1" s="5" t="s">
        <v>69</v>
      </c>
    </row>
    <row r="2" spans="1:7" x14ac:dyDescent="0.45">
      <c r="A2" s="1" t="s">
        <v>22</v>
      </c>
      <c r="B2">
        <v>0</v>
      </c>
      <c r="C2" t="s">
        <v>71</v>
      </c>
      <c r="D2" t="str">
        <f>"'"&amp;A2&amp;"'"</f>
        <v>'00001'</v>
      </c>
      <c r="E2">
        <f>B2</f>
        <v>0</v>
      </c>
      <c r="F2" t="str">
        <f t="shared" ref="F2" si="0">"'"&amp;C2&amp;"'"</f>
        <v>'../scenes/00001.html'</v>
      </c>
      <c r="G2" t="str">
        <f>"("&amp;_xlfn.TEXTJOIN(",",TRUE,D2:F2)&amp;"),"</f>
        <v>('00001',0,'../scenes/00001.html'),</v>
      </c>
    </row>
    <row r="3" spans="1:7" x14ac:dyDescent="0.45">
      <c r="A3" s="1" t="s">
        <v>35</v>
      </c>
      <c r="B3">
        <v>0</v>
      </c>
      <c r="C3" t="s">
        <v>72</v>
      </c>
      <c r="D3" t="str">
        <f t="shared" ref="D3:D5" si="1">"'"&amp;A3&amp;"'"</f>
        <v>'00002'</v>
      </c>
      <c r="E3">
        <f t="shared" ref="E3:E5" si="2">B3</f>
        <v>0</v>
      </c>
      <c r="F3" t="str">
        <f t="shared" ref="F3:F5" si="3">"'"&amp;C3&amp;"'"</f>
        <v>'../scenes/00002.html'</v>
      </c>
      <c r="G3" t="str">
        <f t="shared" ref="G3:G5" si="4">"("&amp;_xlfn.TEXTJOIN(",",TRUE,D3:F3)&amp;"),"</f>
        <v>('00002',0,'../scenes/00002.html'),</v>
      </c>
    </row>
    <row r="4" spans="1:7" x14ac:dyDescent="0.45">
      <c r="A4" s="1" t="s">
        <v>45</v>
      </c>
      <c r="B4">
        <v>0</v>
      </c>
      <c r="C4" t="s">
        <v>73</v>
      </c>
      <c r="D4" t="str">
        <f t="shared" si="1"/>
        <v>'00003'</v>
      </c>
      <c r="E4">
        <f t="shared" si="2"/>
        <v>0</v>
      </c>
      <c r="F4" t="str">
        <f t="shared" si="3"/>
        <v>'../scenes/00003.html'</v>
      </c>
      <c r="G4" t="str">
        <f t="shared" si="4"/>
        <v>('00003',0,'../scenes/00003.html'),</v>
      </c>
    </row>
    <row r="5" spans="1:7" x14ac:dyDescent="0.45">
      <c r="A5" s="1" t="s">
        <v>60</v>
      </c>
      <c r="B5">
        <v>0</v>
      </c>
      <c r="C5" t="s">
        <v>74</v>
      </c>
      <c r="D5" t="str">
        <f t="shared" si="1"/>
        <v>'00004'</v>
      </c>
      <c r="E5">
        <f t="shared" si="2"/>
        <v>0</v>
      </c>
      <c r="F5" t="str">
        <f t="shared" si="3"/>
        <v>'../scenes/00004.html'</v>
      </c>
      <c r="G5" t="str">
        <f t="shared" si="4"/>
        <v>('00004',0,'../scenes/00004.html'),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B432-444A-4052-8E70-20324FF7BD6C}">
  <dimension ref="A1:K6"/>
  <sheetViews>
    <sheetView workbookViewId="0">
      <selection activeCell="K2" sqref="K2"/>
    </sheetView>
  </sheetViews>
  <sheetFormatPr defaultRowHeight="18" x14ac:dyDescent="0.45"/>
  <cols>
    <col min="1" max="1" width="9.8984375" style="1" bestFit="1" customWidth="1"/>
    <col min="2" max="2" width="14.09765625" style="1" bestFit="1" customWidth="1"/>
    <col min="3" max="3" width="5.8984375" style="1" bestFit="1" customWidth="1"/>
    <col min="4" max="4" width="6.796875" bestFit="1" customWidth="1"/>
    <col min="5" max="5" width="10.5" bestFit="1" customWidth="1"/>
  </cols>
  <sheetData>
    <row r="1" spans="1:11" x14ac:dyDescent="0.45">
      <c r="A1" s="6" t="s">
        <v>0</v>
      </c>
      <c r="B1" s="6" t="s">
        <v>1</v>
      </c>
      <c r="C1" s="1" t="s">
        <v>2</v>
      </c>
      <c r="D1" t="s">
        <v>3</v>
      </c>
      <c r="E1" t="s">
        <v>4</v>
      </c>
    </row>
    <row r="2" spans="1:11" x14ac:dyDescent="0.45">
      <c r="A2" s="1" t="s">
        <v>5</v>
      </c>
      <c r="B2" s="1" t="s">
        <v>6</v>
      </c>
      <c r="C2" s="1" t="s">
        <v>7</v>
      </c>
      <c r="D2">
        <v>0</v>
      </c>
      <c r="E2">
        <v>0</v>
      </c>
      <c r="F2" t="str">
        <f>"'"&amp;A2&amp;"'"</f>
        <v>'00000'</v>
      </c>
      <c r="G2" t="str">
        <f t="shared" ref="G2:H2" si="0">"'"&amp;B2&amp;"'"</f>
        <v>'CHK'</v>
      </c>
      <c r="H2" t="str">
        <f t="shared" si="0"/>
        <v>'調べる'</v>
      </c>
      <c r="I2">
        <f>D2</f>
        <v>0</v>
      </c>
      <c r="J2">
        <f>E2</f>
        <v>0</v>
      </c>
      <c r="K2" t="str">
        <f>"("&amp;_xlfn.TEXTJOIN(",",TRUE,F2:J2)&amp;"),"</f>
        <v>('00000','CHK','調べる',0,0),</v>
      </c>
    </row>
    <row r="3" spans="1:11" x14ac:dyDescent="0.45">
      <c r="A3" s="1" t="s">
        <v>5</v>
      </c>
      <c r="B3" s="1" t="s">
        <v>8</v>
      </c>
      <c r="C3" s="1" t="s">
        <v>9</v>
      </c>
      <c r="D3">
        <v>1</v>
      </c>
      <c r="E3">
        <v>1</v>
      </c>
      <c r="F3" t="str">
        <f t="shared" ref="F3:F6" si="1">"'"&amp;A3&amp;"'"</f>
        <v>'00000'</v>
      </c>
      <c r="G3" t="str">
        <f t="shared" ref="G3:G6" si="2">"'"&amp;B3&amp;"'"</f>
        <v>'TLK'</v>
      </c>
      <c r="H3" t="str">
        <f t="shared" ref="H3:H6" si="3">"'"&amp;C3&amp;"'"</f>
        <v>'話す'</v>
      </c>
      <c r="I3">
        <f t="shared" ref="I3:I6" si="4">D3</f>
        <v>1</v>
      </c>
      <c r="J3">
        <f t="shared" ref="J3:J6" si="5">E3</f>
        <v>1</v>
      </c>
      <c r="K3" t="str">
        <f t="shared" ref="K3:K6" si="6">"("&amp;_xlfn.TEXTJOIN(",",TRUE,F3:J3)&amp;"),"</f>
        <v>('00000','TLK','話す',1,1),</v>
      </c>
    </row>
    <row r="4" spans="1:11" x14ac:dyDescent="0.45">
      <c r="A4" s="1" t="s">
        <v>5</v>
      </c>
      <c r="B4" s="1" t="s">
        <v>10</v>
      </c>
      <c r="C4" s="1" t="s">
        <v>11</v>
      </c>
      <c r="D4">
        <v>0</v>
      </c>
      <c r="E4">
        <v>1</v>
      </c>
      <c r="F4" t="str">
        <f t="shared" si="1"/>
        <v>'00000'</v>
      </c>
      <c r="G4" t="str">
        <f t="shared" si="2"/>
        <v>'USE'</v>
      </c>
      <c r="H4" t="str">
        <f t="shared" si="3"/>
        <v>'使う'</v>
      </c>
      <c r="I4">
        <f t="shared" si="4"/>
        <v>0</v>
      </c>
      <c r="J4">
        <f t="shared" si="5"/>
        <v>1</v>
      </c>
      <c r="K4" t="str">
        <f t="shared" si="6"/>
        <v>('00000','USE','使う',0,1),</v>
      </c>
    </row>
    <row r="5" spans="1:11" x14ac:dyDescent="0.45">
      <c r="A5" s="1" t="s">
        <v>5</v>
      </c>
      <c r="B5" s="1" t="s">
        <v>12</v>
      </c>
      <c r="C5" s="1" t="s">
        <v>13</v>
      </c>
      <c r="D5">
        <v>2</v>
      </c>
      <c r="E5">
        <v>10</v>
      </c>
      <c r="F5" t="str">
        <f t="shared" si="1"/>
        <v>'00000'</v>
      </c>
      <c r="G5" t="str">
        <f t="shared" si="2"/>
        <v>'MOV'</v>
      </c>
      <c r="H5" t="str">
        <f t="shared" si="3"/>
        <v>'行く'</v>
      </c>
      <c r="I5">
        <f t="shared" si="4"/>
        <v>2</v>
      </c>
      <c r="J5">
        <f t="shared" si="5"/>
        <v>10</v>
      </c>
      <c r="K5" t="str">
        <f t="shared" si="6"/>
        <v>('00000','MOV','行く',2,10),</v>
      </c>
    </row>
    <row r="6" spans="1:11" x14ac:dyDescent="0.45">
      <c r="A6" s="1" t="s">
        <v>5</v>
      </c>
      <c r="B6" s="1" t="s">
        <v>14</v>
      </c>
      <c r="C6" s="1" t="s">
        <v>15</v>
      </c>
      <c r="D6">
        <v>1</v>
      </c>
      <c r="E6">
        <v>2</v>
      </c>
      <c r="F6" t="str">
        <f t="shared" si="1"/>
        <v>'00000'</v>
      </c>
      <c r="G6" t="str">
        <f t="shared" si="2"/>
        <v>'SHW'</v>
      </c>
      <c r="H6" t="str">
        <f t="shared" si="3"/>
        <v>'見せる'</v>
      </c>
      <c r="I6">
        <f t="shared" si="4"/>
        <v>1</v>
      </c>
      <c r="J6">
        <f t="shared" si="5"/>
        <v>2</v>
      </c>
      <c r="K6" t="str">
        <f t="shared" si="6"/>
        <v>('00000','SHW','見せる',1,2),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651D-ACBA-41CB-9828-57BF962C957F}">
  <dimension ref="A1:O21"/>
  <sheetViews>
    <sheetView workbookViewId="0">
      <selection activeCell="B10" sqref="B10"/>
    </sheetView>
  </sheetViews>
  <sheetFormatPr defaultRowHeight="18" x14ac:dyDescent="0.45"/>
  <cols>
    <col min="1" max="1" width="9.8984375" style="1" bestFit="1" customWidth="1"/>
    <col min="2" max="2" width="14.09765625" style="1" bestFit="1" customWidth="1"/>
    <col min="3" max="3" width="11.19921875" style="1" bestFit="1" customWidth="1"/>
    <col min="4" max="4" width="11.19921875" style="1" customWidth="1"/>
    <col min="5" max="5" width="6.09765625" bestFit="1" customWidth="1"/>
    <col min="6" max="6" width="12.3984375" bestFit="1" customWidth="1"/>
    <col min="7" max="7" width="15.8984375" style="1" bestFit="1" customWidth="1"/>
    <col min="8" max="14" width="4.19921875" customWidth="1"/>
  </cols>
  <sheetData>
    <row r="1" spans="1:15" x14ac:dyDescent="0.45">
      <c r="A1" s="6" t="s">
        <v>0</v>
      </c>
      <c r="B1" s="6" t="s">
        <v>1</v>
      </c>
      <c r="C1" s="6" t="s">
        <v>16</v>
      </c>
      <c r="D1" s="1" t="s">
        <v>92</v>
      </c>
      <c r="E1" t="s">
        <v>17</v>
      </c>
      <c r="F1" t="s">
        <v>2</v>
      </c>
      <c r="G1" s="1" t="s">
        <v>75</v>
      </c>
      <c r="O1" s="5" t="s">
        <v>69</v>
      </c>
    </row>
    <row r="2" spans="1:15" x14ac:dyDescent="0.45">
      <c r="A2" s="1" t="s">
        <v>5</v>
      </c>
      <c r="B2" s="1" t="s">
        <v>14</v>
      </c>
      <c r="C2" s="1" t="s">
        <v>28</v>
      </c>
      <c r="D2" s="1" t="s">
        <v>93</v>
      </c>
      <c r="E2">
        <v>1</v>
      </c>
      <c r="F2" t="s">
        <v>79</v>
      </c>
      <c r="G2" s="1" t="s">
        <v>26</v>
      </c>
      <c r="H2" t="str">
        <f>"'"&amp;A2&amp;"'"</f>
        <v>'00000'</v>
      </c>
      <c r="I2" t="str">
        <f>"'"&amp;B2&amp;"'"</f>
        <v>'SHW'</v>
      </c>
      <c r="J2" t="str">
        <f>"'"&amp;C2&amp;"'"</f>
        <v>'001'</v>
      </c>
      <c r="K2" t="str">
        <f>D2</f>
        <v>0</v>
      </c>
      <c r="L2">
        <f>E2</f>
        <v>1</v>
      </c>
      <c r="M2" t="str">
        <f t="shared" ref="M2" si="0">"'"&amp;F2&amp;"'"</f>
        <v>'鍵'</v>
      </c>
      <c r="N2" t="str">
        <f>IF(G2="NULL",G2,"'"&amp;G2&amp;"'")</f>
        <v>NULL</v>
      </c>
      <c r="O2" t="str">
        <f>"("&amp;_xlfn.TEXTJOIN(",",TRUE,H2:N2)&amp;"),"</f>
        <v>('00000','SHW','001',0,1,'鍵',NULL),</v>
      </c>
    </row>
    <row r="3" spans="1:15" x14ac:dyDescent="0.45">
      <c r="A3" s="1" t="s">
        <v>5</v>
      </c>
      <c r="B3" s="1" t="s">
        <v>14</v>
      </c>
      <c r="C3" s="1" t="s">
        <v>30</v>
      </c>
      <c r="D3" s="1" t="s">
        <v>93</v>
      </c>
      <c r="E3">
        <v>8</v>
      </c>
      <c r="F3" t="s">
        <v>89</v>
      </c>
      <c r="G3" s="1" t="s">
        <v>26</v>
      </c>
      <c r="H3" t="str">
        <f t="shared" ref="H3:H21" si="1">"'"&amp;A3&amp;"'"</f>
        <v>'00000'</v>
      </c>
      <c r="I3" t="str">
        <f t="shared" ref="I3:I21" si="2">"'"&amp;B3&amp;"'"</f>
        <v>'SHW'</v>
      </c>
      <c r="J3" t="str">
        <f t="shared" ref="J3:J21" si="3">"'"&amp;C3&amp;"'"</f>
        <v>'002'</v>
      </c>
      <c r="K3" t="str">
        <f t="shared" ref="K3:K21" si="4">D3</f>
        <v>0</v>
      </c>
      <c r="L3">
        <f t="shared" ref="L3:L21" si="5">E3</f>
        <v>8</v>
      </c>
      <c r="M3" t="str">
        <f t="shared" ref="M3:M21" si="6">"'"&amp;F3&amp;"'"</f>
        <v>'本'</v>
      </c>
      <c r="N3" t="str">
        <f t="shared" ref="N3:N21" si="7">IF(G3="NULL",G3,"'"&amp;G3&amp;"'")</f>
        <v>NULL</v>
      </c>
      <c r="O3" t="str">
        <f t="shared" ref="O3:O21" si="8">"("&amp;_xlfn.TEXTJOIN(",",TRUE,H3:N3)&amp;"),"</f>
        <v>('00000','SHW','002',0,8,'本',NULL),</v>
      </c>
    </row>
    <row r="4" spans="1:15" x14ac:dyDescent="0.45">
      <c r="A4" s="1" t="s">
        <v>5</v>
      </c>
      <c r="B4" s="1" t="s">
        <v>10</v>
      </c>
      <c r="C4" s="1" t="s">
        <v>28</v>
      </c>
      <c r="D4" s="1" t="s">
        <v>93</v>
      </c>
      <c r="E4">
        <v>1</v>
      </c>
      <c r="F4" t="s">
        <v>79</v>
      </c>
      <c r="G4" s="1" t="s">
        <v>26</v>
      </c>
      <c r="H4" t="str">
        <f t="shared" si="1"/>
        <v>'00000'</v>
      </c>
      <c r="I4" t="str">
        <f t="shared" si="2"/>
        <v>'USE'</v>
      </c>
      <c r="J4" t="str">
        <f t="shared" si="3"/>
        <v>'001'</v>
      </c>
      <c r="K4" t="str">
        <f t="shared" si="4"/>
        <v>0</v>
      </c>
      <c r="L4">
        <f t="shared" si="5"/>
        <v>1</v>
      </c>
      <c r="M4" t="str">
        <f t="shared" si="6"/>
        <v>'鍵'</v>
      </c>
      <c r="N4" t="str">
        <f t="shared" si="7"/>
        <v>NULL</v>
      </c>
      <c r="O4" t="str">
        <f t="shared" si="8"/>
        <v>('00000','USE','001',0,1,'鍵',NULL),</v>
      </c>
    </row>
    <row r="5" spans="1:15" x14ac:dyDescent="0.45">
      <c r="A5" s="1" t="s">
        <v>5</v>
      </c>
      <c r="B5" s="1" t="s">
        <v>10</v>
      </c>
      <c r="C5" s="1" t="s">
        <v>30</v>
      </c>
      <c r="D5" s="1" t="s">
        <v>93</v>
      </c>
      <c r="E5">
        <v>8</v>
      </c>
      <c r="F5" t="s">
        <v>89</v>
      </c>
      <c r="G5" s="1" t="s">
        <v>26</v>
      </c>
      <c r="H5" t="str">
        <f t="shared" si="1"/>
        <v>'00000'</v>
      </c>
      <c r="I5" t="str">
        <f t="shared" si="2"/>
        <v>'USE'</v>
      </c>
      <c r="J5" t="str">
        <f t="shared" si="3"/>
        <v>'002'</v>
      </c>
      <c r="K5" t="str">
        <f t="shared" si="4"/>
        <v>0</v>
      </c>
      <c r="L5">
        <f t="shared" si="5"/>
        <v>8</v>
      </c>
      <c r="M5" t="str">
        <f t="shared" si="6"/>
        <v>'本'</v>
      </c>
      <c r="N5" t="str">
        <f t="shared" si="7"/>
        <v>NULL</v>
      </c>
      <c r="O5" t="str">
        <f t="shared" si="8"/>
        <v>('00000','USE','002',0,8,'本',NULL),</v>
      </c>
    </row>
    <row r="6" spans="1:15" x14ac:dyDescent="0.45">
      <c r="A6" s="1" t="s">
        <v>22</v>
      </c>
      <c r="B6" s="1" t="s">
        <v>6</v>
      </c>
      <c r="C6" s="1" t="s">
        <v>28</v>
      </c>
      <c r="D6" s="1" t="s">
        <v>93</v>
      </c>
      <c r="E6">
        <v>0</v>
      </c>
      <c r="F6" t="s">
        <v>76</v>
      </c>
      <c r="G6" s="1" t="s">
        <v>26</v>
      </c>
      <c r="H6" t="str">
        <f t="shared" si="1"/>
        <v>'00001'</v>
      </c>
      <c r="I6" t="str">
        <f t="shared" si="2"/>
        <v>'CHK'</v>
      </c>
      <c r="J6" t="str">
        <f t="shared" si="3"/>
        <v>'001'</v>
      </c>
      <c r="K6" t="str">
        <f t="shared" si="4"/>
        <v>0</v>
      </c>
      <c r="L6">
        <f t="shared" si="5"/>
        <v>0</v>
      </c>
      <c r="M6" t="str">
        <f t="shared" si="6"/>
        <v>'洋館'</v>
      </c>
      <c r="N6" t="str">
        <f t="shared" si="7"/>
        <v>NULL</v>
      </c>
      <c r="O6" t="str">
        <f t="shared" si="8"/>
        <v>('00001','CHK','001',0,0,'洋館',NULL),</v>
      </c>
    </row>
    <row r="7" spans="1:15" x14ac:dyDescent="0.45">
      <c r="A7" s="1" t="s">
        <v>22</v>
      </c>
      <c r="B7" s="1" t="s">
        <v>6</v>
      </c>
      <c r="C7" s="1" t="s">
        <v>30</v>
      </c>
      <c r="D7" s="1" t="s">
        <v>93</v>
      </c>
      <c r="E7">
        <v>0</v>
      </c>
      <c r="F7" t="s">
        <v>77</v>
      </c>
      <c r="G7" s="1" t="s">
        <v>26</v>
      </c>
      <c r="H7" t="str">
        <f t="shared" si="1"/>
        <v>'00001'</v>
      </c>
      <c r="I7" t="str">
        <f t="shared" si="2"/>
        <v>'CHK'</v>
      </c>
      <c r="J7" t="str">
        <f t="shared" si="3"/>
        <v>'002'</v>
      </c>
      <c r="K7" t="str">
        <f t="shared" si="4"/>
        <v>0</v>
      </c>
      <c r="L7">
        <f t="shared" si="5"/>
        <v>0</v>
      </c>
      <c r="M7" t="str">
        <f t="shared" si="6"/>
        <v>'辺り'</v>
      </c>
      <c r="N7" t="str">
        <f t="shared" si="7"/>
        <v>NULL</v>
      </c>
      <c r="O7" t="str">
        <f t="shared" si="8"/>
        <v>('00001','CHK','002',0,0,'辺り',NULL),</v>
      </c>
    </row>
    <row r="8" spans="1:15" x14ac:dyDescent="0.45">
      <c r="A8" s="1" t="s">
        <v>22</v>
      </c>
      <c r="B8" s="1" t="s">
        <v>6</v>
      </c>
      <c r="C8" s="1" t="s">
        <v>50</v>
      </c>
      <c r="D8" s="1" t="s">
        <v>93</v>
      </c>
      <c r="E8">
        <v>128</v>
      </c>
      <c r="F8" t="s">
        <v>91</v>
      </c>
      <c r="G8" s="1" t="s">
        <v>26</v>
      </c>
      <c r="H8" t="str">
        <f t="shared" si="1"/>
        <v>'00001'</v>
      </c>
      <c r="I8" t="str">
        <f t="shared" si="2"/>
        <v>'CHK'</v>
      </c>
      <c r="J8" t="str">
        <f t="shared" si="3"/>
        <v>'003'</v>
      </c>
      <c r="K8" t="str">
        <f t="shared" si="4"/>
        <v>0</v>
      </c>
      <c r="L8">
        <f t="shared" si="5"/>
        <v>128</v>
      </c>
      <c r="M8" t="str">
        <f t="shared" si="6"/>
        <v>'服のポケット'</v>
      </c>
      <c r="N8" t="str">
        <f t="shared" si="7"/>
        <v>NULL</v>
      </c>
      <c r="O8" t="str">
        <f t="shared" si="8"/>
        <v>('00001','CHK','003',0,128,'服のポケット',NULL),</v>
      </c>
    </row>
    <row r="9" spans="1:15" x14ac:dyDescent="0.45">
      <c r="A9" s="1" t="s">
        <v>22</v>
      </c>
      <c r="B9" s="1" t="s">
        <v>12</v>
      </c>
      <c r="C9" s="1" t="s">
        <v>28</v>
      </c>
      <c r="D9" s="1" t="s">
        <v>93</v>
      </c>
      <c r="E9">
        <v>2</v>
      </c>
      <c r="F9" t="s">
        <v>80</v>
      </c>
      <c r="G9" s="1" t="s">
        <v>35</v>
      </c>
      <c r="H9" t="str">
        <f t="shared" si="1"/>
        <v>'00001'</v>
      </c>
      <c r="I9" t="str">
        <f t="shared" si="2"/>
        <v>'MOV'</v>
      </c>
      <c r="J9" t="str">
        <f t="shared" si="3"/>
        <v>'001'</v>
      </c>
      <c r="K9" t="str">
        <f t="shared" si="4"/>
        <v>0</v>
      </c>
      <c r="L9">
        <f t="shared" si="5"/>
        <v>2</v>
      </c>
      <c r="M9" t="str">
        <f t="shared" si="6"/>
        <v>'洋館の中'</v>
      </c>
      <c r="N9" t="str">
        <f t="shared" si="7"/>
        <v>'00002'</v>
      </c>
      <c r="O9" t="str">
        <f t="shared" si="8"/>
        <v>('00001','MOV','001',0,2,'洋館の中','00002'),</v>
      </c>
    </row>
    <row r="10" spans="1:15" x14ac:dyDescent="0.45">
      <c r="A10" s="1" t="s">
        <v>22</v>
      </c>
      <c r="B10" s="1" t="s">
        <v>12</v>
      </c>
      <c r="C10" s="9" t="s">
        <v>95</v>
      </c>
      <c r="D10" s="1" t="s">
        <v>94</v>
      </c>
      <c r="E10">
        <v>64</v>
      </c>
      <c r="F10" t="s">
        <v>90</v>
      </c>
      <c r="G10" s="1" t="s">
        <v>26</v>
      </c>
      <c r="H10" t="str">
        <f t="shared" si="1"/>
        <v>'00001'</v>
      </c>
      <c r="I10" t="str">
        <f t="shared" si="2"/>
        <v>'MOV'</v>
      </c>
      <c r="J10" t="str">
        <f t="shared" si="3"/>
        <v>'002'</v>
      </c>
      <c r="K10" t="str">
        <f t="shared" si="4"/>
        <v>1</v>
      </c>
      <c r="L10">
        <f t="shared" si="5"/>
        <v>64</v>
      </c>
      <c r="M10" t="str">
        <f t="shared" si="6"/>
        <v>'家に帰る'</v>
      </c>
      <c r="N10" t="str">
        <f t="shared" si="7"/>
        <v>NULL</v>
      </c>
      <c r="O10" t="str">
        <f t="shared" si="8"/>
        <v>('00001','MOV','002',1,64,'家に帰る',NULL),</v>
      </c>
    </row>
    <row r="11" spans="1:15" x14ac:dyDescent="0.45">
      <c r="A11" s="1" t="s">
        <v>22</v>
      </c>
      <c r="B11" s="1" t="s">
        <v>12</v>
      </c>
      <c r="C11" s="9" t="s">
        <v>96</v>
      </c>
      <c r="D11" s="1" t="s">
        <v>93</v>
      </c>
      <c r="E11">
        <v>256</v>
      </c>
      <c r="F11" t="s">
        <v>90</v>
      </c>
      <c r="G11" s="1" t="s">
        <v>60</v>
      </c>
      <c r="H11" t="str">
        <f t="shared" si="1"/>
        <v>'00001'</v>
      </c>
      <c r="I11" t="str">
        <f t="shared" si="2"/>
        <v>'MOV'</v>
      </c>
      <c r="J11" t="str">
        <f t="shared" si="3"/>
        <v>'003'</v>
      </c>
      <c r="K11" t="str">
        <f t="shared" si="4"/>
        <v>0</v>
      </c>
      <c r="L11">
        <f t="shared" si="5"/>
        <v>256</v>
      </c>
      <c r="M11" t="str">
        <f t="shared" si="6"/>
        <v>'家に帰る'</v>
      </c>
      <c r="N11" t="str">
        <f t="shared" si="7"/>
        <v>'00004'</v>
      </c>
      <c r="O11" t="str">
        <f t="shared" si="8"/>
        <v>('00001','MOV','003',0,256,'家に帰る','00004'),</v>
      </c>
    </row>
    <row r="12" spans="1:15" x14ac:dyDescent="0.45">
      <c r="A12" s="1" t="s">
        <v>35</v>
      </c>
      <c r="B12" s="1" t="s">
        <v>6</v>
      </c>
      <c r="C12" s="1" t="s">
        <v>28</v>
      </c>
      <c r="D12" s="1" t="s">
        <v>93</v>
      </c>
      <c r="E12">
        <v>0</v>
      </c>
      <c r="F12" t="s">
        <v>81</v>
      </c>
      <c r="G12" s="1" t="s">
        <v>26</v>
      </c>
      <c r="H12" t="str">
        <f t="shared" si="1"/>
        <v>'00002'</v>
      </c>
      <c r="I12" t="str">
        <f t="shared" si="2"/>
        <v>'CHK'</v>
      </c>
      <c r="J12" t="str">
        <f t="shared" si="3"/>
        <v>'001'</v>
      </c>
      <c r="K12" t="str">
        <f t="shared" si="4"/>
        <v>0</v>
      </c>
      <c r="L12">
        <f t="shared" si="5"/>
        <v>0</v>
      </c>
      <c r="M12" t="str">
        <f t="shared" si="6"/>
        <v>'ランプ'</v>
      </c>
      <c r="N12" t="str">
        <f t="shared" si="7"/>
        <v>NULL</v>
      </c>
      <c r="O12" t="str">
        <f t="shared" si="8"/>
        <v>('00002','CHK','001',0,0,'ランプ',NULL),</v>
      </c>
    </row>
    <row r="13" spans="1:15" x14ac:dyDescent="0.45">
      <c r="A13" s="1" t="s">
        <v>35</v>
      </c>
      <c r="B13" s="1" t="s">
        <v>6</v>
      </c>
      <c r="C13" s="1" t="s">
        <v>30</v>
      </c>
      <c r="D13" s="1" t="s">
        <v>93</v>
      </c>
      <c r="E13">
        <v>16</v>
      </c>
      <c r="F13" t="s">
        <v>78</v>
      </c>
      <c r="G13" s="1" t="s">
        <v>26</v>
      </c>
      <c r="H13" t="str">
        <f t="shared" si="1"/>
        <v>'00002'</v>
      </c>
      <c r="I13" t="str">
        <f t="shared" si="2"/>
        <v>'CHK'</v>
      </c>
      <c r="J13" t="str">
        <f t="shared" si="3"/>
        <v>'002'</v>
      </c>
      <c r="K13" t="str">
        <f t="shared" si="4"/>
        <v>0</v>
      </c>
      <c r="L13">
        <f t="shared" si="5"/>
        <v>16</v>
      </c>
      <c r="M13" t="str">
        <f t="shared" si="6"/>
        <v>'ソファ'</v>
      </c>
      <c r="N13" t="str">
        <f t="shared" si="7"/>
        <v>NULL</v>
      </c>
      <c r="O13" t="str">
        <f t="shared" si="8"/>
        <v>('00002','CHK','002',0,16,'ソファ',NULL),</v>
      </c>
    </row>
    <row r="14" spans="1:15" x14ac:dyDescent="0.45">
      <c r="A14" s="1" t="s">
        <v>35</v>
      </c>
      <c r="B14" s="1" t="s">
        <v>12</v>
      </c>
      <c r="C14" s="1" t="s">
        <v>28</v>
      </c>
      <c r="D14" s="1" t="s">
        <v>93</v>
      </c>
      <c r="E14">
        <v>0</v>
      </c>
      <c r="F14" t="s">
        <v>83</v>
      </c>
      <c r="G14" s="1" t="s">
        <v>22</v>
      </c>
      <c r="H14" t="str">
        <f t="shared" si="1"/>
        <v>'00002'</v>
      </c>
      <c r="I14" t="str">
        <f t="shared" si="2"/>
        <v>'MOV'</v>
      </c>
      <c r="J14" t="str">
        <f t="shared" si="3"/>
        <v>'001'</v>
      </c>
      <c r="K14" t="str">
        <f t="shared" si="4"/>
        <v>0</v>
      </c>
      <c r="L14">
        <f t="shared" si="5"/>
        <v>0</v>
      </c>
      <c r="M14" t="str">
        <f t="shared" si="6"/>
        <v>'洋館から出る'</v>
      </c>
      <c r="N14" t="str">
        <f t="shared" si="7"/>
        <v>'00001'</v>
      </c>
      <c r="O14" t="str">
        <f t="shared" si="8"/>
        <v>('00002','MOV','001',0,0,'洋館から出る','00001'),</v>
      </c>
    </row>
    <row r="15" spans="1:15" x14ac:dyDescent="0.45">
      <c r="A15" s="1" t="s">
        <v>35</v>
      </c>
      <c r="B15" s="1" t="s">
        <v>12</v>
      </c>
      <c r="C15" s="1" t="s">
        <v>30</v>
      </c>
      <c r="D15" s="1" t="s">
        <v>93</v>
      </c>
      <c r="E15">
        <v>0</v>
      </c>
      <c r="F15" t="s">
        <v>84</v>
      </c>
      <c r="G15" s="1" t="s">
        <v>45</v>
      </c>
      <c r="H15" t="str">
        <f t="shared" si="1"/>
        <v>'00002'</v>
      </c>
      <c r="I15" t="str">
        <f t="shared" si="2"/>
        <v>'MOV'</v>
      </c>
      <c r="J15" t="str">
        <f t="shared" si="3"/>
        <v>'002'</v>
      </c>
      <c r="K15" t="str">
        <f t="shared" si="4"/>
        <v>0</v>
      </c>
      <c r="L15">
        <f t="shared" si="5"/>
        <v>0</v>
      </c>
      <c r="M15" t="str">
        <f t="shared" si="6"/>
        <v>'寝室'</v>
      </c>
      <c r="N15" t="str">
        <f t="shared" si="7"/>
        <v>'00003'</v>
      </c>
      <c r="O15" t="str">
        <f t="shared" si="8"/>
        <v>('00002','MOV','002',0,0,'寝室','00003'),</v>
      </c>
    </row>
    <row r="16" spans="1:15" x14ac:dyDescent="0.45">
      <c r="A16" s="1" t="s">
        <v>35</v>
      </c>
      <c r="B16" s="1" t="s">
        <v>8</v>
      </c>
      <c r="C16" s="1" t="s">
        <v>28</v>
      </c>
      <c r="D16" s="1" t="s">
        <v>93</v>
      </c>
      <c r="E16">
        <v>0</v>
      </c>
      <c r="F16" t="s">
        <v>76</v>
      </c>
      <c r="G16" s="1" t="s">
        <v>26</v>
      </c>
      <c r="H16" t="str">
        <f t="shared" si="1"/>
        <v>'00002'</v>
      </c>
      <c r="I16" t="str">
        <f t="shared" si="2"/>
        <v>'TLK'</v>
      </c>
      <c r="J16" t="str">
        <f t="shared" si="3"/>
        <v>'001'</v>
      </c>
      <c r="K16" t="str">
        <f t="shared" si="4"/>
        <v>0</v>
      </c>
      <c r="L16">
        <f t="shared" si="5"/>
        <v>0</v>
      </c>
      <c r="M16" t="str">
        <f t="shared" si="6"/>
        <v>'洋館'</v>
      </c>
      <c r="N16" t="str">
        <f t="shared" si="7"/>
        <v>NULL</v>
      </c>
      <c r="O16" t="str">
        <f t="shared" si="8"/>
        <v>('00002','TLK','001',0,0,'洋館',NULL),</v>
      </c>
    </row>
    <row r="17" spans="1:15" x14ac:dyDescent="0.45">
      <c r="A17" s="1" t="s">
        <v>35</v>
      </c>
      <c r="B17" s="1" t="s">
        <v>8</v>
      </c>
      <c r="C17" s="1" t="s">
        <v>30</v>
      </c>
      <c r="D17" s="1" t="s">
        <v>93</v>
      </c>
      <c r="E17">
        <v>0</v>
      </c>
      <c r="F17" t="s">
        <v>82</v>
      </c>
      <c r="G17" s="1" t="s">
        <v>26</v>
      </c>
      <c r="H17" t="str">
        <f t="shared" si="1"/>
        <v>'00002'</v>
      </c>
      <c r="I17" t="str">
        <f t="shared" si="2"/>
        <v>'TLK'</v>
      </c>
      <c r="J17" t="str">
        <f t="shared" si="3"/>
        <v>'002'</v>
      </c>
      <c r="K17" t="str">
        <f t="shared" si="4"/>
        <v>0</v>
      </c>
      <c r="L17">
        <f t="shared" si="5"/>
        <v>0</v>
      </c>
      <c r="M17" t="str">
        <f t="shared" si="6"/>
        <v>'男'</v>
      </c>
      <c r="N17" t="str">
        <f t="shared" si="7"/>
        <v>NULL</v>
      </c>
      <c r="O17" t="str">
        <f t="shared" si="8"/>
        <v>('00002','TLK','002',0,0,'男',NULL),</v>
      </c>
    </row>
    <row r="18" spans="1:15" x14ac:dyDescent="0.45">
      <c r="A18" s="1" t="s">
        <v>45</v>
      </c>
      <c r="B18" s="1" t="s">
        <v>6</v>
      </c>
      <c r="C18" s="1" t="s">
        <v>28</v>
      </c>
      <c r="D18" s="1" t="s">
        <v>93</v>
      </c>
      <c r="E18">
        <v>0</v>
      </c>
      <c r="F18" t="s">
        <v>86</v>
      </c>
      <c r="G18" s="1" t="s">
        <v>26</v>
      </c>
      <c r="H18" t="str">
        <f t="shared" si="1"/>
        <v>'00003'</v>
      </c>
      <c r="I18" t="str">
        <f t="shared" si="2"/>
        <v>'CHK'</v>
      </c>
      <c r="J18" t="str">
        <f t="shared" si="3"/>
        <v>'001'</v>
      </c>
      <c r="K18" t="str">
        <f t="shared" si="4"/>
        <v>0</v>
      </c>
      <c r="L18">
        <f t="shared" si="5"/>
        <v>0</v>
      </c>
      <c r="M18" t="str">
        <f t="shared" si="6"/>
        <v>'枕'</v>
      </c>
      <c r="N18" t="str">
        <f t="shared" si="7"/>
        <v>NULL</v>
      </c>
      <c r="O18" t="str">
        <f t="shared" si="8"/>
        <v>('00003','CHK','001',0,0,'枕',NULL),</v>
      </c>
    </row>
    <row r="19" spans="1:15" x14ac:dyDescent="0.45">
      <c r="A19" s="1" t="s">
        <v>45</v>
      </c>
      <c r="B19" s="1" t="s">
        <v>6</v>
      </c>
      <c r="C19" s="1" t="s">
        <v>30</v>
      </c>
      <c r="D19" s="1" t="s">
        <v>93</v>
      </c>
      <c r="E19">
        <v>0</v>
      </c>
      <c r="F19" t="s">
        <v>87</v>
      </c>
      <c r="G19" s="1" t="s">
        <v>26</v>
      </c>
      <c r="H19" t="str">
        <f t="shared" si="1"/>
        <v>'00003'</v>
      </c>
      <c r="I19" t="str">
        <f t="shared" si="2"/>
        <v>'CHK'</v>
      </c>
      <c r="J19" t="str">
        <f t="shared" si="3"/>
        <v>'002'</v>
      </c>
      <c r="K19" t="str">
        <f t="shared" si="4"/>
        <v>0</v>
      </c>
      <c r="L19">
        <f t="shared" si="5"/>
        <v>0</v>
      </c>
      <c r="M19" t="str">
        <f t="shared" si="6"/>
        <v>'ベッド'</v>
      </c>
      <c r="N19" t="str">
        <f t="shared" si="7"/>
        <v>NULL</v>
      </c>
      <c r="O19" t="str">
        <f t="shared" si="8"/>
        <v>('00003','CHK','002',0,0,'ベッド',NULL),</v>
      </c>
    </row>
    <row r="20" spans="1:15" x14ac:dyDescent="0.45">
      <c r="A20" s="1" t="s">
        <v>45</v>
      </c>
      <c r="B20" s="1" t="s">
        <v>6</v>
      </c>
      <c r="C20" s="1" t="s">
        <v>50</v>
      </c>
      <c r="D20" s="1" t="s">
        <v>93</v>
      </c>
      <c r="E20">
        <v>0</v>
      </c>
      <c r="F20" t="s">
        <v>88</v>
      </c>
      <c r="G20" s="1" t="s">
        <v>26</v>
      </c>
      <c r="H20" t="str">
        <f t="shared" si="1"/>
        <v>'00003'</v>
      </c>
      <c r="I20" t="str">
        <f t="shared" si="2"/>
        <v>'CHK'</v>
      </c>
      <c r="J20" t="str">
        <f t="shared" si="3"/>
        <v>'003'</v>
      </c>
      <c r="K20" t="str">
        <f t="shared" si="4"/>
        <v>0</v>
      </c>
      <c r="L20">
        <f t="shared" si="5"/>
        <v>0</v>
      </c>
      <c r="M20" t="str">
        <f t="shared" si="6"/>
        <v>'暖炉'</v>
      </c>
      <c r="N20" t="str">
        <f t="shared" si="7"/>
        <v>NULL</v>
      </c>
      <c r="O20" t="str">
        <f t="shared" si="8"/>
        <v>('00003','CHK','003',0,0,'暖炉',NULL),</v>
      </c>
    </row>
    <row r="21" spans="1:15" x14ac:dyDescent="0.45">
      <c r="A21" s="1" t="s">
        <v>45</v>
      </c>
      <c r="B21" s="1" t="s">
        <v>12</v>
      </c>
      <c r="C21" s="1" t="s">
        <v>28</v>
      </c>
      <c r="D21" s="1" t="s">
        <v>93</v>
      </c>
      <c r="E21">
        <v>0</v>
      </c>
      <c r="F21" t="s">
        <v>85</v>
      </c>
      <c r="G21" s="1" t="s">
        <v>35</v>
      </c>
      <c r="H21" t="str">
        <f t="shared" si="1"/>
        <v>'00003'</v>
      </c>
      <c r="I21" t="str">
        <f t="shared" si="2"/>
        <v>'MOV'</v>
      </c>
      <c r="J21" t="str">
        <f t="shared" si="3"/>
        <v>'001'</v>
      </c>
      <c r="K21" t="str">
        <f t="shared" si="4"/>
        <v>0</v>
      </c>
      <c r="L21">
        <f t="shared" si="5"/>
        <v>0</v>
      </c>
      <c r="M21" t="str">
        <f t="shared" si="6"/>
        <v>'居間'</v>
      </c>
      <c r="N21" t="str">
        <f t="shared" si="7"/>
        <v>'00002'</v>
      </c>
      <c r="O21" t="str">
        <f t="shared" si="8"/>
        <v>('00003','MOV','001',0,0,'居間','00002'),</v>
      </c>
    </row>
  </sheetData>
  <sortState xmlns:xlrd2="http://schemas.microsoft.com/office/spreadsheetml/2017/richdata2" ref="A2:G21">
    <sortCondition ref="A2:A21"/>
    <sortCondition ref="B2:B21"/>
    <sortCondition ref="C2:C21"/>
  </sortState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B470-4704-4A1D-9F48-301ABE411E57}">
  <dimension ref="A1:Q38"/>
  <sheetViews>
    <sheetView workbookViewId="0">
      <pane ySplit="1" topLeftCell="A2" activePane="bottomLeft" state="frozen"/>
      <selection pane="bottomLeft"/>
    </sheetView>
  </sheetViews>
  <sheetFormatPr defaultRowHeight="18" x14ac:dyDescent="0.45"/>
  <cols>
    <col min="1" max="1" width="9.8984375" style="1" bestFit="1" customWidth="1"/>
    <col min="2" max="2" width="14.09765625" style="1" bestFit="1" customWidth="1"/>
    <col min="3" max="3" width="11.19921875" style="1" bestFit="1" customWidth="1"/>
    <col min="4" max="4" width="6.09765625" bestFit="1" customWidth="1"/>
    <col min="5" max="5" width="10.296875" bestFit="1" customWidth="1"/>
    <col min="6" max="6" width="13.19921875" bestFit="1" customWidth="1"/>
    <col min="7" max="7" width="18.59765625" bestFit="1" customWidth="1"/>
    <col min="8" max="8" width="144.69921875" style="1" customWidth="1"/>
    <col min="9" max="16" width="5" customWidth="1"/>
  </cols>
  <sheetData>
    <row r="1" spans="1:17" x14ac:dyDescent="0.45">
      <c r="A1" s="8" t="s">
        <v>0</v>
      </c>
      <c r="B1" s="8" t="s">
        <v>1</v>
      </c>
      <c r="C1" s="8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2" t="s">
        <v>2</v>
      </c>
      <c r="I1" s="4" t="s">
        <v>0</v>
      </c>
      <c r="J1" s="4" t="s">
        <v>1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</v>
      </c>
      <c r="Q1" s="5" t="s">
        <v>69</v>
      </c>
    </row>
    <row r="2" spans="1:17" x14ac:dyDescent="0.45">
      <c r="A2" s="1" t="s">
        <v>5</v>
      </c>
      <c r="B2" s="1" t="s">
        <v>6</v>
      </c>
      <c r="C2" s="1" t="s">
        <v>23</v>
      </c>
      <c r="D2">
        <v>0</v>
      </c>
      <c r="E2">
        <v>0</v>
      </c>
      <c r="F2">
        <v>0</v>
      </c>
      <c r="G2" t="s">
        <v>26</v>
      </c>
      <c r="H2" s="1" t="s">
        <v>25</v>
      </c>
      <c r="I2" t="str">
        <f>"'"&amp;A2&amp;"'"</f>
        <v>'00000'</v>
      </c>
      <c r="J2" t="str">
        <f t="shared" ref="J2:K2" si="0">"'"&amp;B2&amp;"'"</f>
        <v>'CHK'</v>
      </c>
      <c r="K2" t="str">
        <f t="shared" si="0"/>
        <v>'000'</v>
      </c>
      <c r="L2">
        <f>D2</f>
        <v>0</v>
      </c>
      <c r="M2">
        <f t="shared" ref="M2:N2" si="1">E2</f>
        <v>0</v>
      </c>
      <c r="N2">
        <f t="shared" si="1"/>
        <v>0</v>
      </c>
      <c r="O2" t="str">
        <f>IF(G2="NULL", G2,"'"&amp;G2&amp;"'")</f>
        <v>NULL</v>
      </c>
      <c r="P2" t="str">
        <f t="shared" ref="P2" si="2">"'"&amp;H2&amp;"'"</f>
        <v>'何を調べますか？'</v>
      </c>
      <c r="Q2" t="str">
        <f>"("&amp;_xlfn.TEXTJOIN(",",TRUE,I2:P2)&amp;"),"</f>
        <v>('00000','CHK','000',0,0,0,NULL,'何を調べますか？'),</v>
      </c>
    </row>
    <row r="3" spans="1:17" x14ac:dyDescent="0.45">
      <c r="A3" s="1" t="s">
        <v>5</v>
      </c>
      <c r="B3" s="1" t="s">
        <v>10</v>
      </c>
      <c r="C3" s="1" t="s">
        <v>23</v>
      </c>
      <c r="D3">
        <v>0</v>
      </c>
      <c r="E3">
        <v>0</v>
      </c>
      <c r="F3">
        <v>0</v>
      </c>
      <c r="G3" t="s">
        <v>26</v>
      </c>
      <c r="H3" s="1" t="s">
        <v>32</v>
      </c>
      <c r="I3" t="str">
        <f t="shared" ref="I3:I38" si="3">"'"&amp;A3&amp;"'"</f>
        <v>'00000'</v>
      </c>
      <c r="J3" t="str">
        <f t="shared" ref="J3:J38" si="4">"'"&amp;B3&amp;"'"</f>
        <v>'USE'</v>
      </c>
      <c r="K3" t="str">
        <f t="shared" ref="K3:K38" si="5">"'"&amp;C3&amp;"'"</f>
        <v>'000'</v>
      </c>
      <c r="L3">
        <f t="shared" ref="L3:L38" si="6">D3</f>
        <v>0</v>
      </c>
      <c r="M3">
        <f t="shared" ref="M3:M38" si="7">E3</f>
        <v>0</v>
      </c>
      <c r="N3">
        <f t="shared" ref="N3:N38" si="8">F3</f>
        <v>0</v>
      </c>
      <c r="O3" t="str">
        <f t="shared" ref="O3:O38" si="9">IF(G3="NULL", G3,"'"&amp;G3&amp;"'")</f>
        <v>NULL</v>
      </c>
      <c r="P3" t="str">
        <f t="shared" ref="P3:P38" si="10">"'"&amp;H3&amp;"'"</f>
        <v>'何を使いますか？'</v>
      </c>
      <c r="Q3" t="str">
        <f t="shared" ref="Q3:Q38" si="11">"("&amp;_xlfn.TEXTJOIN(",",TRUE,I3:P3)&amp;"),"</f>
        <v>('00000','USE','000',0,0,0,NULL,'何を使いますか？'),</v>
      </c>
    </row>
    <row r="4" spans="1:17" x14ac:dyDescent="0.45">
      <c r="A4" s="1" t="s">
        <v>5</v>
      </c>
      <c r="B4" s="1" t="s">
        <v>12</v>
      </c>
      <c r="C4" s="1" t="s">
        <v>23</v>
      </c>
      <c r="D4">
        <v>0</v>
      </c>
      <c r="E4">
        <v>0</v>
      </c>
      <c r="F4">
        <v>0</v>
      </c>
      <c r="G4" t="s">
        <v>26</v>
      </c>
      <c r="H4" s="1" t="s">
        <v>33</v>
      </c>
      <c r="I4" t="str">
        <f t="shared" si="3"/>
        <v>'00000'</v>
      </c>
      <c r="J4" t="str">
        <f t="shared" si="4"/>
        <v>'MOV'</v>
      </c>
      <c r="K4" t="str">
        <f t="shared" si="5"/>
        <v>'000'</v>
      </c>
      <c r="L4">
        <f t="shared" si="6"/>
        <v>0</v>
      </c>
      <c r="M4">
        <f t="shared" si="7"/>
        <v>0</v>
      </c>
      <c r="N4">
        <f t="shared" si="8"/>
        <v>0</v>
      </c>
      <c r="O4" t="str">
        <f t="shared" si="9"/>
        <v>NULL</v>
      </c>
      <c r="P4" t="str">
        <f t="shared" si="10"/>
        <v>'どこに行きますか？'</v>
      </c>
      <c r="Q4" t="str">
        <f t="shared" si="11"/>
        <v>('00000','MOV','000',0,0,0,NULL,'どこに行きますか？'),</v>
      </c>
    </row>
    <row r="5" spans="1:17" x14ac:dyDescent="0.45">
      <c r="A5" s="1" t="s">
        <v>5</v>
      </c>
      <c r="B5" s="1" t="s">
        <v>8</v>
      </c>
      <c r="C5" s="1" t="s">
        <v>23</v>
      </c>
      <c r="D5">
        <v>0</v>
      </c>
      <c r="E5">
        <v>0</v>
      </c>
      <c r="F5">
        <v>0</v>
      </c>
      <c r="G5" t="s">
        <v>26</v>
      </c>
      <c r="H5" s="1" t="s">
        <v>40</v>
      </c>
      <c r="I5" t="str">
        <f t="shared" si="3"/>
        <v>'00000'</v>
      </c>
      <c r="J5" t="str">
        <f t="shared" si="4"/>
        <v>'TLK'</v>
      </c>
      <c r="K5" t="str">
        <f t="shared" si="5"/>
        <v>'000'</v>
      </c>
      <c r="L5">
        <f t="shared" si="6"/>
        <v>0</v>
      </c>
      <c r="M5">
        <f t="shared" si="7"/>
        <v>0</v>
      </c>
      <c r="N5">
        <f t="shared" si="8"/>
        <v>0</v>
      </c>
      <c r="O5" t="str">
        <f t="shared" si="9"/>
        <v>NULL</v>
      </c>
      <c r="P5" t="str">
        <f t="shared" si="10"/>
        <v>'何について話しますか？'</v>
      </c>
      <c r="Q5" t="str">
        <f t="shared" si="11"/>
        <v>('00000','TLK','000',0,0,0,NULL,'何について話しますか？'),</v>
      </c>
    </row>
    <row r="6" spans="1:17" x14ac:dyDescent="0.45">
      <c r="A6" s="1" t="s">
        <v>5</v>
      </c>
      <c r="B6" s="1" t="s">
        <v>14</v>
      </c>
      <c r="C6" s="1" t="s">
        <v>23</v>
      </c>
      <c r="D6">
        <v>0</v>
      </c>
      <c r="E6">
        <v>0</v>
      </c>
      <c r="F6">
        <v>0</v>
      </c>
      <c r="G6" t="s">
        <v>26</v>
      </c>
      <c r="H6" s="1" t="s">
        <v>51</v>
      </c>
      <c r="I6" t="str">
        <f t="shared" si="3"/>
        <v>'00000'</v>
      </c>
      <c r="J6" t="str">
        <f t="shared" si="4"/>
        <v>'SHW'</v>
      </c>
      <c r="K6" t="str">
        <f t="shared" si="5"/>
        <v>'000'</v>
      </c>
      <c r="L6">
        <f t="shared" si="6"/>
        <v>0</v>
      </c>
      <c r="M6">
        <f t="shared" si="7"/>
        <v>0</v>
      </c>
      <c r="N6">
        <f t="shared" si="8"/>
        <v>0</v>
      </c>
      <c r="O6" t="str">
        <f t="shared" si="9"/>
        <v>NULL</v>
      </c>
      <c r="P6" t="str">
        <f t="shared" si="10"/>
        <v>'何を見せますか？'</v>
      </c>
      <c r="Q6" t="str">
        <f t="shared" si="11"/>
        <v>('00000','SHW','000',0,0,0,NULL,'何を見せますか？'),</v>
      </c>
    </row>
    <row r="7" spans="1:17" x14ac:dyDescent="0.45">
      <c r="A7" s="1" t="s">
        <v>5</v>
      </c>
      <c r="B7" s="1" t="s">
        <v>10</v>
      </c>
      <c r="C7" s="1" t="s">
        <v>28</v>
      </c>
      <c r="D7">
        <v>0</v>
      </c>
      <c r="E7">
        <v>0</v>
      </c>
      <c r="F7">
        <v>0</v>
      </c>
      <c r="G7" t="s">
        <v>26</v>
      </c>
      <c r="H7" s="1" t="s">
        <v>52</v>
      </c>
      <c r="I7" t="str">
        <f t="shared" si="3"/>
        <v>'00000'</v>
      </c>
      <c r="J7" t="str">
        <f t="shared" si="4"/>
        <v>'USE'</v>
      </c>
      <c r="K7" t="str">
        <f t="shared" si="5"/>
        <v>'001'</v>
      </c>
      <c r="L7">
        <f t="shared" si="6"/>
        <v>0</v>
      </c>
      <c r="M7">
        <f t="shared" si="7"/>
        <v>0</v>
      </c>
      <c r="N7">
        <f t="shared" si="8"/>
        <v>0</v>
      </c>
      <c r="O7" t="str">
        <f t="shared" si="9"/>
        <v>NULL</v>
      </c>
      <c r="P7" t="str">
        <f t="shared" si="10"/>
        <v>'ここでは使えません。'</v>
      </c>
      <c r="Q7" t="str">
        <f t="shared" si="11"/>
        <v>('00000','USE','001',0,0,0,NULL,'ここでは使えません。'),</v>
      </c>
    </row>
    <row r="8" spans="1:17" x14ac:dyDescent="0.45">
      <c r="A8" s="1" t="s">
        <v>5</v>
      </c>
      <c r="B8" s="1" t="s">
        <v>10</v>
      </c>
      <c r="C8" s="1" t="s">
        <v>30</v>
      </c>
      <c r="D8">
        <v>0</v>
      </c>
      <c r="E8">
        <v>0</v>
      </c>
      <c r="F8">
        <v>0</v>
      </c>
      <c r="G8" t="s">
        <v>26</v>
      </c>
      <c r="H8" s="1" t="s">
        <v>52</v>
      </c>
      <c r="I8" t="str">
        <f t="shared" si="3"/>
        <v>'00000'</v>
      </c>
      <c r="J8" t="str">
        <f t="shared" si="4"/>
        <v>'USE'</v>
      </c>
      <c r="K8" t="str">
        <f t="shared" si="5"/>
        <v>'002'</v>
      </c>
      <c r="L8">
        <f t="shared" si="6"/>
        <v>0</v>
      </c>
      <c r="M8">
        <f t="shared" si="7"/>
        <v>0</v>
      </c>
      <c r="N8">
        <f t="shared" si="8"/>
        <v>0</v>
      </c>
      <c r="O8" t="str">
        <f t="shared" si="9"/>
        <v>NULL</v>
      </c>
      <c r="P8" t="str">
        <f t="shared" si="10"/>
        <v>'ここでは使えません。'</v>
      </c>
      <c r="Q8" t="str">
        <f t="shared" si="11"/>
        <v>('00000','USE','002',0,0,0,NULL,'ここでは使えません。'),</v>
      </c>
    </row>
    <row r="9" spans="1:17" x14ac:dyDescent="0.45">
      <c r="A9" s="1" t="s">
        <v>5</v>
      </c>
      <c r="B9" s="1" t="s">
        <v>6</v>
      </c>
      <c r="C9" s="1" t="s">
        <v>64</v>
      </c>
      <c r="D9">
        <v>0</v>
      </c>
      <c r="E9">
        <v>0</v>
      </c>
      <c r="F9">
        <v>0</v>
      </c>
      <c r="G9" t="s">
        <v>26</v>
      </c>
      <c r="H9" s="1" t="s">
        <v>63</v>
      </c>
      <c r="I9" t="str">
        <f t="shared" si="3"/>
        <v>'00000'</v>
      </c>
      <c r="J9" t="str">
        <f t="shared" si="4"/>
        <v>'CHK'</v>
      </c>
      <c r="K9" t="str">
        <f t="shared" si="5"/>
        <v>'999'</v>
      </c>
      <c r="L9">
        <f t="shared" si="6"/>
        <v>0</v>
      </c>
      <c r="M9">
        <f t="shared" si="7"/>
        <v>0</v>
      </c>
      <c r="N9">
        <f t="shared" si="8"/>
        <v>0</v>
      </c>
      <c r="O9" t="str">
        <f t="shared" si="9"/>
        <v>NULL</v>
      </c>
      <c r="P9" t="str">
        <f t="shared" si="10"/>
        <v>'調べるものがありません。'</v>
      </c>
      <c r="Q9" t="str">
        <f t="shared" si="11"/>
        <v>('00000','CHK','999',0,0,0,NULL,'調べるものがありません。'),</v>
      </c>
    </row>
    <row r="10" spans="1:17" x14ac:dyDescent="0.45">
      <c r="A10" s="1" t="s">
        <v>5</v>
      </c>
      <c r="B10" s="1" t="s">
        <v>10</v>
      </c>
      <c r="C10" s="1" t="s">
        <v>64</v>
      </c>
      <c r="D10">
        <v>0</v>
      </c>
      <c r="E10">
        <v>0</v>
      </c>
      <c r="F10">
        <v>0</v>
      </c>
      <c r="G10" t="s">
        <v>26</v>
      </c>
      <c r="H10" s="1" t="s">
        <v>65</v>
      </c>
      <c r="I10" t="str">
        <f t="shared" si="3"/>
        <v>'00000'</v>
      </c>
      <c r="J10" t="str">
        <f t="shared" si="4"/>
        <v>'USE'</v>
      </c>
      <c r="K10" t="str">
        <f t="shared" si="5"/>
        <v>'999'</v>
      </c>
      <c r="L10">
        <f t="shared" si="6"/>
        <v>0</v>
      </c>
      <c r="M10">
        <f t="shared" si="7"/>
        <v>0</v>
      </c>
      <c r="N10">
        <f t="shared" si="8"/>
        <v>0</v>
      </c>
      <c r="O10" t="str">
        <f t="shared" si="9"/>
        <v>NULL</v>
      </c>
      <c r="P10" t="str">
        <f t="shared" si="10"/>
        <v>'使うものがありません。'</v>
      </c>
      <c r="Q10" t="str">
        <f t="shared" si="11"/>
        <v>('00000','USE','999',0,0,0,NULL,'使うものがありません。'),</v>
      </c>
    </row>
    <row r="11" spans="1:17" x14ac:dyDescent="0.45">
      <c r="A11" s="1" t="s">
        <v>5</v>
      </c>
      <c r="B11" s="1" t="s">
        <v>8</v>
      </c>
      <c r="C11" s="1" t="s">
        <v>64</v>
      </c>
      <c r="D11">
        <v>0</v>
      </c>
      <c r="E11">
        <v>0</v>
      </c>
      <c r="F11">
        <v>0</v>
      </c>
      <c r="G11" t="s">
        <v>26</v>
      </c>
      <c r="H11" s="1" t="s">
        <v>66</v>
      </c>
      <c r="I11" t="str">
        <f t="shared" si="3"/>
        <v>'00000'</v>
      </c>
      <c r="J11" t="str">
        <f t="shared" si="4"/>
        <v>'TLK'</v>
      </c>
      <c r="K11" t="str">
        <f t="shared" si="5"/>
        <v>'999'</v>
      </c>
      <c r="L11">
        <f t="shared" si="6"/>
        <v>0</v>
      </c>
      <c r="M11">
        <f t="shared" si="7"/>
        <v>0</v>
      </c>
      <c r="N11">
        <f t="shared" si="8"/>
        <v>0</v>
      </c>
      <c r="O11" t="str">
        <f t="shared" si="9"/>
        <v>NULL</v>
      </c>
      <c r="P11" t="str">
        <f t="shared" si="10"/>
        <v>'話す相手が誰もいません。'</v>
      </c>
      <c r="Q11" t="str">
        <f t="shared" si="11"/>
        <v>('00000','TLK','999',0,0,0,NULL,'話す相手が誰もいません。'),</v>
      </c>
    </row>
    <row r="12" spans="1:17" x14ac:dyDescent="0.45">
      <c r="A12" s="1" t="s">
        <v>5</v>
      </c>
      <c r="B12" s="1" t="s">
        <v>12</v>
      </c>
      <c r="C12" s="1" t="s">
        <v>64</v>
      </c>
      <c r="D12">
        <v>0</v>
      </c>
      <c r="E12">
        <v>0</v>
      </c>
      <c r="F12">
        <v>0</v>
      </c>
      <c r="G12" t="s">
        <v>26</v>
      </c>
      <c r="H12" s="1" t="s">
        <v>67</v>
      </c>
      <c r="I12" t="str">
        <f t="shared" si="3"/>
        <v>'00000'</v>
      </c>
      <c r="J12" t="str">
        <f t="shared" si="4"/>
        <v>'MOV'</v>
      </c>
      <c r="K12" t="str">
        <f t="shared" si="5"/>
        <v>'999'</v>
      </c>
      <c r="L12">
        <f t="shared" si="6"/>
        <v>0</v>
      </c>
      <c r="M12">
        <f t="shared" si="7"/>
        <v>0</v>
      </c>
      <c r="N12">
        <f t="shared" si="8"/>
        <v>0</v>
      </c>
      <c r="O12" t="str">
        <f t="shared" si="9"/>
        <v>NULL</v>
      </c>
      <c r="P12" t="str">
        <f t="shared" si="10"/>
        <v>'行くところがありません。'</v>
      </c>
      <c r="Q12" t="str">
        <f t="shared" si="11"/>
        <v>('00000','MOV','999',0,0,0,NULL,'行くところがありません。'),</v>
      </c>
    </row>
    <row r="13" spans="1:17" x14ac:dyDescent="0.45">
      <c r="A13" s="1" t="s">
        <v>5</v>
      </c>
      <c r="B13" s="1" t="s">
        <v>14</v>
      </c>
      <c r="C13" s="1" t="s">
        <v>64</v>
      </c>
      <c r="D13">
        <v>0</v>
      </c>
      <c r="E13">
        <v>0</v>
      </c>
      <c r="F13">
        <v>0</v>
      </c>
      <c r="G13" t="s">
        <v>26</v>
      </c>
      <c r="H13" s="1" t="s">
        <v>68</v>
      </c>
      <c r="I13" t="str">
        <f t="shared" si="3"/>
        <v>'00000'</v>
      </c>
      <c r="J13" t="str">
        <f t="shared" si="4"/>
        <v>'SHW'</v>
      </c>
      <c r="K13" t="str">
        <f t="shared" si="5"/>
        <v>'999'</v>
      </c>
      <c r="L13">
        <f t="shared" si="6"/>
        <v>0</v>
      </c>
      <c r="M13">
        <f t="shared" si="7"/>
        <v>0</v>
      </c>
      <c r="N13">
        <f t="shared" si="8"/>
        <v>0</v>
      </c>
      <c r="O13" t="str">
        <f t="shared" si="9"/>
        <v>NULL</v>
      </c>
      <c r="P13" t="str">
        <f t="shared" si="10"/>
        <v>'見せるものを何も持っていません。。'</v>
      </c>
      <c r="Q13" t="str">
        <f t="shared" si="11"/>
        <v>('00000','SHW','999',0,0,0,NULL,'見せるものを何も持っていません。。'),</v>
      </c>
    </row>
    <row r="14" spans="1:17" x14ac:dyDescent="0.45">
      <c r="A14" s="1" t="s">
        <v>22</v>
      </c>
      <c r="B14" s="1" t="s">
        <v>23</v>
      </c>
      <c r="C14" s="1" t="s">
        <v>23</v>
      </c>
      <c r="D14">
        <v>0</v>
      </c>
      <c r="E14">
        <v>0</v>
      </c>
      <c r="F14">
        <v>0</v>
      </c>
      <c r="G14" t="s">
        <v>24</v>
      </c>
      <c r="H14" s="1" t="s">
        <v>21</v>
      </c>
      <c r="I14" t="str">
        <f t="shared" si="3"/>
        <v>'00001'</v>
      </c>
      <c r="J14" t="str">
        <f t="shared" si="4"/>
        <v>'000'</v>
      </c>
      <c r="K14" t="str">
        <f t="shared" si="5"/>
        <v>'000'</v>
      </c>
      <c r="L14">
        <f t="shared" si="6"/>
        <v>0</v>
      </c>
      <c r="M14">
        <f t="shared" si="7"/>
        <v>0</v>
      </c>
      <c r="N14">
        <f t="shared" si="8"/>
        <v>0</v>
      </c>
      <c r="O14" t="str">
        <f t="shared" si="9"/>
        <v>'getInitialCommands'</v>
      </c>
      <c r="P14" t="str">
        <f t="shared" si="10"/>
        <v>'^不気味な洋館があります。'</v>
      </c>
      <c r="Q14" t="str">
        <f t="shared" si="11"/>
        <v>('00001','000','000',0,0,0,'getInitialCommands','^不気味な洋館があります。'),</v>
      </c>
    </row>
    <row r="15" spans="1:17" x14ac:dyDescent="0.45">
      <c r="A15" s="1" t="s">
        <v>22</v>
      </c>
      <c r="B15" s="1" t="s">
        <v>6</v>
      </c>
      <c r="C15" s="1" t="s">
        <v>28</v>
      </c>
      <c r="D15">
        <v>0</v>
      </c>
      <c r="E15">
        <v>0</v>
      </c>
      <c r="F15">
        <v>0</v>
      </c>
      <c r="G15" t="s">
        <v>26</v>
      </c>
      <c r="H15" s="1" t="s">
        <v>27</v>
      </c>
      <c r="I15" t="str">
        <f t="shared" si="3"/>
        <v>'00001'</v>
      </c>
      <c r="J15" t="str">
        <f t="shared" si="4"/>
        <v>'CHK'</v>
      </c>
      <c r="K15" t="str">
        <f t="shared" si="5"/>
        <v>'001'</v>
      </c>
      <c r="L15">
        <f t="shared" si="6"/>
        <v>0</v>
      </c>
      <c r="M15">
        <f t="shared" si="7"/>
        <v>0</v>
      </c>
      <c r="N15">
        <f t="shared" si="8"/>
        <v>0</v>
      </c>
      <c r="O15" t="str">
        <f t="shared" si="9"/>
        <v>NULL</v>
      </c>
      <c r="P15" t="str">
        <f t="shared" si="10"/>
        <v>'鍵が閉まっているようです。'</v>
      </c>
      <c r="Q15" t="str">
        <f t="shared" si="11"/>
        <v>('00001','CHK','001',0,0,0,NULL,'鍵が閉まっているようです。'),</v>
      </c>
    </row>
    <row r="16" spans="1:17" x14ac:dyDescent="0.45">
      <c r="A16" s="1" t="s">
        <v>22</v>
      </c>
      <c r="B16" s="1" t="s">
        <v>6</v>
      </c>
      <c r="C16" s="1" t="s">
        <v>30</v>
      </c>
      <c r="D16">
        <v>0</v>
      </c>
      <c r="E16">
        <v>1</v>
      </c>
      <c r="F16">
        <v>0</v>
      </c>
      <c r="G16" t="s">
        <v>26</v>
      </c>
      <c r="H16" s="1" t="s">
        <v>29</v>
      </c>
      <c r="I16" t="str">
        <f t="shared" si="3"/>
        <v>'00001'</v>
      </c>
      <c r="J16" t="str">
        <f t="shared" si="4"/>
        <v>'CHK'</v>
      </c>
      <c r="K16" t="str">
        <f t="shared" si="5"/>
        <v>'002'</v>
      </c>
      <c r="L16">
        <f t="shared" si="6"/>
        <v>0</v>
      </c>
      <c r="M16">
        <f t="shared" si="7"/>
        <v>1</v>
      </c>
      <c r="N16">
        <f t="shared" si="8"/>
        <v>0</v>
      </c>
      <c r="O16" t="str">
        <f t="shared" si="9"/>
        <v>NULL</v>
      </c>
      <c r="P16" t="str">
        <f t="shared" si="10"/>
        <v>'鍵が落ちています。@あなたは、鍵を手に入れました！'</v>
      </c>
      <c r="Q16" t="str">
        <f t="shared" si="11"/>
        <v>('00001','CHK','002',0,1,0,NULL,'鍵が落ちています。@あなたは、鍵を手に入れました！'),</v>
      </c>
    </row>
    <row r="17" spans="1:17" x14ac:dyDescent="0.45">
      <c r="A17" s="1" t="s">
        <v>22</v>
      </c>
      <c r="B17" s="1" t="s">
        <v>10</v>
      </c>
      <c r="C17" s="1" t="s">
        <v>28</v>
      </c>
      <c r="D17">
        <v>1</v>
      </c>
      <c r="E17">
        <v>2</v>
      </c>
      <c r="F17">
        <v>0</v>
      </c>
      <c r="G17" t="s">
        <v>26</v>
      </c>
      <c r="H17" s="1" t="s">
        <v>31</v>
      </c>
      <c r="I17" t="str">
        <f t="shared" si="3"/>
        <v>'00001'</v>
      </c>
      <c r="J17" t="str">
        <f t="shared" si="4"/>
        <v>'USE'</v>
      </c>
      <c r="K17" t="str">
        <f t="shared" si="5"/>
        <v>'001'</v>
      </c>
      <c r="L17">
        <f t="shared" si="6"/>
        <v>1</v>
      </c>
      <c r="M17">
        <f t="shared" si="7"/>
        <v>2</v>
      </c>
      <c r="N17">
        <f t="shared" si="8"/>
        <v>0</v>
      </c>
      <c r="O17" t="str">
        <f t="shared" si="9"/>
        <v>NULL</v>
      </c>
      <c r="P17" t="str">
        <f t="shared" si="10"/>
        <v>'洋館の鍵を開けました。'</v>
      </c>
      <c r="Q17" t="str">
        <f t="shared" si="11"/>
        <v>('00001','USE','001',1,2,0,NULL,'洋館の鍵を開けました。'),</v>
      </c>
    </row>
    <row r="18" spans="1:17" x14ac:dyDescent="0.45">
      <c r="A18" s="1" t="s">
        <v>22</v>
      </c>
      <c r="B18" s="1" t="s">
        <v>6</v>
      </c>
      <c r="C18" s="1" t="s">
        <v>30</v>
      </c>
      <c r="D18">
        <v>1</v>
      </c>
      <c r="E18">
        <v>0</v>
      </c>
      <c r="F18">
        <v>0</v>
      </c>
      <c r="G18" t="s">
        <v>26</v>
      </c>
      <c r="H18" s="1" t="s">
        <v>36</v>
      </c>
      <c r="I18" t="str">
        <f t="shared" si="3"/>
        <v>'00001'</v>
      </c>
      <c r="J18" t="str">
        <f t="shared" si="4"/>
        <v>'CHK'</v>
      </c>
      <c r="K18" t="str">
        <f t="shared" si="5"/>
        <v>'002'</v>
      </c>
      <c r="L18">
        <f t="shared" si="6"/>
        <v>1</v>
      </c>
      <c r="M18">
        <f t="shared" si="7"/>
        <v>0</v>
      </c>
      <c r="N18">
        <f t="shared" si="8"/>
        <v>0</v>
      </c>
      <c r="O18" t="str">
        <f t="shared" si="9"/>
        <v>NULL</v>
      </c>
      <c r="P18" t="str">
        <f t="shared" si="10"/>
        <v>'特に何もないようです。'</v>
      </c>
      <c r="Q18" t="str">
        <f t="shared" si="11"/>
        <v>('00001','CHK','002',1,0,0,NULL,'特に何もないようです。'),</v>
      </c>
    </row>
    <row r="19" spans="1:17" x14ac:dyDescent="0.45">
      <c r="A19" s="1" t="s">
        <v>22</v>
      </c>
      <c r="B19" s="1" t="s">
        <v>6</v>
      </c>
      <c r="C19" s="1" t="s">
        <v>28</v>
      </c>
      <c r="D19">
        <v>2</v>
      </c>
      <c r="E19">
        <v>0</v>
      </c>
      <c r="F19">
        <v>0</v>
      </c>
      <c r="G19" t="s">
        <v>26</v>
      </c>
      <c r="H19" s="1" t="s">
        <v>37</v>
      </c>
      <c r="I19" t="str">
        <f t="shared" si="3"/>
        <v>'00001'</v>
      </c>
      <c r="J19" t="str">
        <f t="shared" si="4"/>
        <v>'CHK'</v>
      </c>
      <c r="K19" t="str">
        <f t="shared" si="5"/>
        <v>'001'</v>
      </c>
      <c r="L19">
        <f t="shared" si="6"/>
        <v>2</v>
      </c>
      <c r="M19">
        <f t="shared" si="7"/>
        <v>0</v>
      </c>
      <c r="N19">
        <f t="shared" si="8"/>
        <v>0</v>
      </c>
      <c r="O19" t="str">
        <f t="shared" si="9"/>
        <v>NULL</v>
      </c>
      <c r="P19" t="str">
        <f t="shared" si="10"/>
        <v>'鍵を開けたので、中に入ることができます。'</v>
      </c>
      <c r="Q19" t="str">
        <f t="shared" si="11"/>
        <v>('00001','CHK','001',2,0,0,NULL,'鍵を開けたので、中に入ることができます。'),</v>
      </c>
    </row>
    <row r="20" spans="1:17" x14ac:dyDescent="0.45">
      <c r="A20" s="1" t="s">
        <v>22</v>
      </c>
      <c r="B20" s="1" t="s">
        <v>10</v>
      </c>
      <c r="C20" s="1" t="s">
        <v>28</v>
      </c>
      <c r="D20">
        <v>2</v>
      </c>
      <c r="E20">
        <v>0</v>
      </c>
      <c r="F20">
        <v>0</v>
      </c>
      <c r="G20" t="s">
        <v>26</v>
      </c>
      <c r="H20" s="1" t="s">
        <v>43</v>
      </c>
      <c r="I20" t="str">
        <f t="shared" si="3"/>
        <v>'00001'</v>
      </c>
      <c r="J20" t="str">
        <f t="shared" si="4"/>
        <v>'USE'</v>
      </c>
      <c r="K20" t="str">
        <f t="shared" si="5"/>
        <v>'001'</v>
      </c>
      <c r="L20">
        <f t="shared" si="6"/>
        <v>2</v>
      </c>
      <c r="M20">
        <f t="shared" si="7"/>
        <v>0</v>
      </c>
      <c r="N20">
        <f t="shared" si="8"/>
        <v>0</v>
      </c>
      <c r="O20" t="str">
        <f t="shared" si="9"/>
        <v>NULL</v>
      </c>
      <c r="P20" t="str">
        <f t="shared" si="10"/>
        <v>'もう洋館の鍵は開いています。'</v>
      </c>
      <c r="Q20" t="str">
        <f t="shared" si="11"/>
        <v>('00001','USE','001',2,0,0,NULL,'もう洋館の鍵は開いています。'),</v>
      </c>
    </row>
    <row r="21" spans="1:17" x14ac:dyDescent="0.45">
      <c r="A21" s="1" t="s">
        <v>22</v>
      </c>
      <c r="B21" s="1" t="s">
        <v>12</v>
      </c>
      <c r="C21" s="1" t="s">
        <v>95</v>
      </c>
      <c r="D21">
        <v>0</v>
      </c>
      <c r="E21">
        <v>128</v>
      </c>
      <c r="F21">
        <v>64</v>
      </c>
      <c r="G21" t="s">
        <v>26</v>
      </c>
      <c r="H21" s="1" t="s">
        <v>58</v>
      </c>
      <c r="I21" t="str">
        <f t="shared" si="3"/>
        <v>'00001'</v>
      </c>
      <c r="J21" t="str">
        <f t="shared" si="4"/>
        <v>'MOV'</v>
      </c>
      <c r="K21" t="str">
        <f t="shared" si="5"/>
        <v>'002'</v>
      </c>
      <c r="L21">
        <f t="shared" si="6"/>
        <v>0</v>
      </c>
      <c r="M21">
        <f t="shared" si="7"/>
        <v>128</v>
      </c>
      <c r="N21">
        <f t="shared" si="8"/>
        <v>64</v>
      </c>
      <c r="O21" t="str">
        <f t="shared" si="9"/>
        <v>NULL</v>
      </c>
      <c r="P21" t="str">
        <f t="shared" si="10"/>
        <v>'あなたは家に帰ろうとしましたが、@家までの道を忘れてしまいました。'</v>
      </c>
      <c r="Q21" t="str">
        <f t="shared" si="11"/>
        <v>('00001','MOV','002',0,128,64,NULL,'あなたは家に帰ろうとしましたが、@家までの道を忘れてしまいました。'),</v>
      </c>
    </row>
    <row r="22" spans="1:17" x14ac:dyDescent="0.45">
      <c r="A22" s="1" t="s">
        <v>22</v>
      </c>
      <c r="B22" s="1" t="s">
        <v>6</v>
      </c>
      <c r="C22" s="1" t="s">
        <v>50</v>
      </c>
      <c r="D22">
        <v>0</v>
      </c>
      <c r="E22">
        <v>256</v>
      </c>
      <c r="F22">
        <v>128</v>
      </c>
      <c r="G22" t="s">
        <v>26</v>
      </c>
      <c r="H22" s="1" t="s">
        <v>62</v>
      </c>
      <c r="I22" t="str">
        <f t="shared" si="3"/>
        <v>'00001'</v>
      </c>
      <c r="J22" t="str">
        <f t="shared" si="4"/>
        <v>'CHK'</v>
      </c>
      <c r="K22" t="str">
        <f t="shared" si="5"/>
        <v>'003'</v>
      </c>
      <c r="L22">
        <f t="shared" si="6"/>
        <v>0</v>
      </c>
      <c r="M22">
        <f t="shared" si="7"/>
        <v>256</v>
      </c>
      <c r="N22">
        <f t="shared" si="8"/>
        <v>128</v>
      </c>
      <c r="O22" t="str">
        <f t="shared" si="9"/>
        <v>NULL</v>
      </c>
      <c r="P22" t="str">
        <f t="shared" si="10"/>
        <v>'ポケットの中に、家までの地図がありました。@これで家に帰ることができます！'</v>
      </c>
      <c r="Q22" t="str">
        <f t="shared" si="11"/>
        <v>('00001','CHK','003',0,256,128,NULL,'ポケットの中に、家までの地図がありました。@これで家に帰ることができます！'),</v>
      </c>
    </row>
    <row r="23" spans="1:17" x14ac:dyDescent="0.45">
      <c r="A23" s="1" t="s">
        <v>35</v>
      </c>
      <c r="B23" s="1" t="s">
        <v>23</v>
      </c>
      <c r="C23" s="1" t="s">
        <v>23</v>
      </c>
      <c r="D23">
        <v>0</v>
      </c>
      <c r="E23">
        <v>0</v>
      </c>
      <c r="F23">
        <v>0</v>
      </c>
      <c r="G23" t="s">
        <v>24</v>
      </c>
      <c r="H23" s="1" t="s">
        <v>34</v>
      </c>
      <c r="I23" t="str">
        <f t="shared" si="3"/>
        <v>'00002'</v>
      </c>
      <c r="J23" t="str">
        <f t="shared" si="4"/>
        <v>'000'</v>
      </c>
      <c r="K23" t="str">
        <f t="shared" si="5"/>
        <v>'000'</v>
      </c>
      <c r="L23">
        <f t="shared" si="6"/>
        <v>0</v>
      </c>
      <c r="M23">
        <f t="shared" si="7"/>
        <v>0</v>
      </c>
      <c r="N23">
        <f t="shared" si="8"/>
        <v>0</v>
      </c>
      <c r="O23" t="str">
        <f t="shared" si="9"/>
        <v>'getInitialCommands'</v>
      </c>
      <c r="P23" t="str">
        <f t="shared" si="10"/>
        <v>'^洋館の居間です。'</v>
      </c>
      <c r="Q23" t="str">
        <f t="shared" si="11"/>
        <v>('00002','000','000',0,0,0,'getInitialCommands','^洋館の居間です。'),</v>
      </c>
    </row>
    <row r="24" spans="1:17" x14ac:dyDescent="0.45">
      <c r="A24" s="1" t="s">
        <v>35</v>
      </c>
      <c r="B24" s="1" t="s">
        <v>6</v>
      </c>
      <c r="C24" s="1" t="s">
        <v>28</v>
      </c>
      <c r="D24">
        <v>0</v>
      </c>
      <c r="E24">
        <v>4</v>
      </c>
      <c r="F24">
        <v>0</v>
      </c>
      <c r="G24" t="s">
        <v>39</v>
      </c>
      <c r="H24" s="1" t="s">
        <v>38</v>
      </c>
      <c r="I24" t="str">
        <f t="shared" si="3"/>
        <v>'00002'</v>
      </c>
      <c r="J24" t="str">
        <f t="shared" si="4"/>
        <v>'CHK'</v>
      </c>
      <c r="K24" t="str">
        <f t="shared" si="5"/>
        <v>'001'</v>
      </c>
      <c r="L24">
        <f t="shared" si="6"/>
        <v>0</v>
      </c>
      <c r="M24">
        <f t="shared" si="7"/>
        <v>4</v>
      </c>
      <c r="N24">
        <f t="shared" si="8"/>
        <v>0</v>
      </c>
      <c r="O24" t="str">
        <f t="shared" si="9"/>
        <v>'showPerson'</v>
      </c>
      <c r="P24" t="str">
        <f t="shared" si="10"/>
        <v>'^男が来ました。@「ここで何をしている？」'</v>
      </c>
      <c r="Q24" t="str">
        <f t="shared" si="11"/>
        <v>('00002','CHK','001',0,4,0,'showPerson','^男が来ました。@「ここで何をしている？」'),</v>
      </c>
    </row>
    <row r="25" spans="1:17" x14ac:dyDescent="0.45">
      <c r="A25" s="1" t="s">
        <v>35</v>
      </c>
      <c r="B25" s="1" t="s">
        <v>8</v>
      </c>
      <c r="C25" s="1" t="s">
        <v>28</v>
      </c>
      <c r="D25">
        <v>0</v>
      </c>
      <c r="E25">
        <v>0</v>
      </c>
      <c r="F25">
        <v>0</v>
      </c>
      <c r="G25" t="s">
        <v>26</v>
      </c>
      <c r="H25" s="1" t="s">
        <v>41</v>
      </c>
      <c r="I25" t="str">
        <f t="shared" si="3"/>
        <v>'00002'</v>
      </c>
      <c r="J25" t="str">
        <f t="shared" si="4"/>
        <v>'TLK'</v>
      </c>
      <c r="K25" t="str">
        <f t="shared" si="5"/>
        <v>'001'</v>
      </c>
      <c r="L25">
        <f t="shared" si="6"/>
        <v>0</v>
      </c>
      <c r="M25">
        <f t="shared" si="7"/>
        <v>0</v>
      </c>
      <c r="N25">
        <f t="shared" si="8"/>
        <v>0</v>
      </c>
      <c r="O25" t="str">
        <f t="shared" si="9"/>
        <v>NULL</v>
      </c>
      <c r="P25" t="str">
        <f t="shared" si="10"/>
        <v>'「ここは、私の家だ。」'</v>
      </c>
      <c r="Q25" t="str">
        <f t="shared" si="11"/>
        <v>('00002','TLK','001',0,0,0,NULL,'「ここは、私の家だ。」'),</v>
      </c>
    </row>
    <row r="26" spans="1:17" x14ac:dyDescent="0.45">
      <c r="A26" s="1" t="s">
        <v>35</v>
      </c>
      <c r="B26" s="1" t="s">
        <v>8</v>
      </c>
      <c r="C26" s="1" t="s">
        <v>30</v>
      </c>
      <c r="D26">
        <v>0</v>
      </c>
      <c r="E26">
        <v>0</v>
      </c>
      <c r="F26">
        <v>0</v>
      </c>
      <c r="G26" t="s">
        <v>26</v>
      </c>
      <c r="H26" s="1" t="s">
        <v>42</v>
      </c>
      <c r="I26" t="str">
        <f t="shared" si="3"/>
        <v>'00002'</v>
      </c>
      <c r="J26" t="str">
        <f t="shared" si="4"/>
        <v>'TLK'</v>
      </c>
      <c r="K26" t="str">
        <f t="shared" si="5"/>
        <v>'002'</v>
      </c>
      <c r="L26">
        <f t="shared" si="6"/>
        <v>0</v>
      </c>
      <c r="M26">
        <f t="shared" si="7"/>
        <v>0</v>
      </c>
      <c r="N26">
        <f t="shared" si="8"/>
        <v>0</v>
      </c>
      <c r="O26" t="str">
        <f t="shared" si="9"/>
        <v>NULL</v>
      </c>
      <c r="P26" t="str">
        <f t="shared" si="10"/>
        <v>'「私は、ここに住んでいるのだ。」'</v>
      </c>
      <c r="Q26" t="str">
        <f t="shared" si="11"/>
        <v>('00002','TLK','002',0,0,0,NULL,'「私は、ここに住んでいるのだ。」'),</v>
      </c>
    </row>
    <row r="27" spans="1:17" x14ac:dyDescent="0.45">
      <c r="A27" s="1" t="s">
        <v>35</v>
      </c>
      <c r="B27" s="1" t="s">
        <v>23</v>
      </c>
      <c r="C27" s="1" t="s">
        <v>23</v>
      </c>
      <c r="D27">
        <v>4</v>
      </c>
      <c r="E27">
        <v>0</v>
      </c>
      <c r="F27">
        <v>0</v>
      </c>
      <c r="G27" t="s">
        <v>39</v>
      </c>
      <c r="H27" s="1" t="s">
        <v>46</v>
      </c>
      <c r="I27" t="str">
        <f t="shared" si="3"/>
        <v>'00002'</v>
      </c>
      <c r="J27" t="str">
        <f t="shared" si="4"/>
        <v>'000'</v>
      </c>
      <c r="K27" t="str">
        <f t="shared" si="5"/>
        <v>'000'</v>
      </c>
      <c r="L27">
        <f t="shared" si="6"/>
        <v>4</v>
      </c>
      <c r="M27">
        <f t="shared" si="7"/>
        <v>0</v>
      </c>
      <c r="N27">
        <f t="shared" si="8"/>
        <v>0</v>
      </c>
      <c r="O27" t="str">
        <f t="shared" si="9"/>
        <v>'showPerson'</v>
      </c>
      <c r="P27" t="str">
        <f t="shared" si="10"/>
        <v>'^居間です。@男がいます。'</v>
      </c>
      <c r="Q27" t="str">
        <f t="shared" si="11"/>
        <v>('00002','000','000',4,0,0,'showPerson','^居間です。@男がいます。'),</v>
      </c>
    </row>
    <row r="28" spans="1:17" x14ac:dyDescent="0.45">
      <c r="A28" s="1" t="s">
        <v>35</v>
      </c>
      <c r="B28" s="1" t="s">
        <v>14</v>
      </c>
      <c r="C28" s="1" t="s">
        <v>28</v>
      </c>
      <c r="D28">
        <v>0</v>
      </c>
      <c r="E28">
        <v>0</v>
      </c>
      <c r="F28">
        <v>0</v>
      </c>
      <c r="G28" t="s">
        <v>26</v>
      </c>
      <c r="H28" s="1" t="s">
        <v>54</v>
      </c>
      <c r="I28" t="str">
        <f t="shared" si="3"/>
        <v>'00002'</v>
      </c>
      <c r="J28" t="str">
        <f t="shared" si="4"/>
        <v>'SHW'</v>
      </c>
      <c r="K28" t="str">
        <f t="shared" si="5"/>
        <v>'001'</v>
      </c>
      <c r="L28">
        <f t="shared" si="6"/>
        <v>0</v>
      </c>
      <c r="M28">
        <f t="shared" si="7"/>
        <v>0</v>
      </c>
      <c r="N28">
        <f t="shared" si="8"/>
        <v>0</v>
      </c>
      <c r="O28" t="str">
        <f t="shared" si="9"/>
        <v>NULL</v>
      </c>
      <c r="P28" t="str">
        <f t="shared" si="10"/>
        <v>'「私は、わからない。」'</v>
      </c>
      <c r="Q28" t="str">
        <f t="shared" si="11"/>
        <v>('00002','SHW','001',0,0,0,NULL,'「私は、わからない。」'),</v>
      </c>
    </row>
    <row r="29" spans="1:17" x14ac:dyDescent="0.45">
      <c r="A29" s="1" t="s">
        <v>35</v>
      </c>
      <c r="B29" s="1" t="s">
        <v>14</v>
      </c>
      <c r="C29" s="1" t="s">
        <v>30</v>
      </c>
      <c r="D29">
        <v>0</v>
      </c>
      <c r="E29">
        <v>16</v>
      </c>
      <c r="F29">
        <v>4</v>
      </c>
      <c r="G29" t="s">
        <v>56</v>
      </c>
      <c r="H29" s="1" t="s">
        <v>55</v>
      </c>
      <c r="I29" t="str">
        <f t="shared" si="3"/>
        <v>'00002'</v>
      </c>
      <c r="J29" t="str">
        <f t="shared" si="4"/>
        <v>'SHW'</v>
      </c>
      <c r="K29" t="str">
        <f t="shared" si="5"/>
        <v>'002'</v>
      </c>
      <c r="L29">
        <f t="shared" si="6"/>
        <v>0</v>
      </c>
      <c r="M29">
        <f t="shared" si="7"/>
        <v>16</v>
      </c>
      <c r="N29">
        <f t="shared" si="8"/>
        <v>4</v>
      </c>
      <c r="O29" t="str">
        <f t="shared" si="9"/>
        <v>'hidePerson'</v>
      </c>
      <c r="P29" t="str">
        <f t="shared" si="10"/>
        <v>'「それは、私の本だ。」;あなたは、本を男に返しました。@「ありがとう。」;「ソファの下にいいものがある。お返しにそれをあげよう。」@^男は行ってしまいました。'</v>
      </c>
      <c r="Q29" t="str">
        <f t="shared" si="11"/>
        <v>('00002','SHW','002',0,16,4,'hidePerson','「それは、私の本だ。」;あなたは、本を男に返しました。@「ありがとう。」;「ソファの下にいいものがある。お返しにそれをあげよう。」@^男は行ってしまいました。'),</v>
      </c>
    </row>
    <row r="30" spans="1:17" x14ac:dyDescent="0.45">
      <c r="A30" s="1" t="s">
        <v>35</v>
      </c>
      <c r="B30" s="1" t="s">
        <v>6</v>
      </c>
      <c r="C30" s="1" t="s">
        <v>28</v>
      </c>
      <c r="D30">
        <v>16</v>
      </c>
      <c r="E30">
        <v>0</v>
      </c>
      <c r="F30">
        <v>0</v>
      </c>
      <c r="G30" t="s">
        <v>26</v>
      </c>
      <c r="H30" s="1" t="s">
        <v>36</v>
      </c>
      <c r="I30" t="str">
        <f t="shared" si="3"/>
        <v>'00002'</v>
      </c>
      <c r="J30" t="str">
        <f t="shared" si="4"/>
        <v>'CHK'</v>
      </c>
      <c r="K30" t="str">
        <f t="shared" si="5"/>
        <v>'001'</v>
      </c>
      <c r="L30">
        <f t="shared" si="6"/>
        <v>16</v>
      </c>
      <c r="M30">
        <f t="shared" si="7"/>
        <v>0</v>
      </c>
      <c r="N30">
        <f t="shared" si="8"/>
        <v>0</v>
      </c>
      <c r="O30" t="str">
        <f t="shared" si="9"/>
        <v>NULL</v>
      </c>
      <c r="P30" t="str">
        <f t="shared" si="10"/>
        <v>'特に何もないようです。'</v>
      </c>
      <c r="Q30" t="str">
        <f t="shared" si="11"/>
        <v>('00002','CHK','001',16,0,0,NULL,'特に何もないようです。'),</v>
      </c>
    </row>
    <row r="31" spans="1:17" x14ac:dyDescent="0.45">
      <c r="A31" s="1" t="s">
        <v>35</v>
      </c>
      <c r="B31" s="1" t="s">
        <v>6</v>
      </c>
      <c r="C31" s="1" t="s">
        <v>30</v>
      </c>
      <c r="D31">
        <v>0</v>
      </c>
      <c r="E31">
        <v>96</v>
      </c>
      <c r="F31">
        <v>0</v>
      </c>
      <c r="G31" t="s">
        <v>26</v>
      </c>
      <c r="H31" s="1" t="s">
        <v>57</v>
      </c>
      <c r="I31" t="str">
        <f t="shared" si="3"/>
        <v>'00002'</v>
      </c>
      <c r="J31" t="str">
        <f t="shared" si="4"/>
        <v>'CHK'</v>
      </c>
      <c r="K31" t="str">
        <f t="shared" si="5"/>
        <v>'002'</v>
      </c>
      <c r="L31">
        <f t="shared" si="6"/>
        <v>0</v>
      </c>
      <c r="M31">
        <f t="shared" si="7"/>
        <v>96</v>
      </c>
      <c r="N31">
        <f t="shared" si="8"/>
        <v>0</v>
      </c>
      <c r="O31" t="str">
        <f t="shared" si="9"/>
        <v>NULL</v>
      </c>
      <c r="P31" t="str">
        <f t="shared" si="10"/>
        <v>'ソファの下に、宝物があります。@あなたは、宝物を手に入れました！'</v>
      </c>
      <c r="Q31" t="str">
        <f t="shared" si="11"/>
        <v>('00002','CHK','002',0,96,0,NULL,'ソファの下に、宝物があります。@あなたは、宝物を手に入れました！'),</v>
      </c>
    </row>
    <row r="32" spans="1:17" x14ac:dyDescent="0.45">
      <c r="A32" s="1" t="s">
        <v>35</v>
      </c>
      <c r="B32" s="1" t="s">
        <v>6</v>
      </c>
      <c r="C32" s="1" t="s">
        <v>30</v>
      </c>
      <c r="D32">
        <v>32</v>
      </c>
      <c r="E32">
        <v>0</v>
      </c>
      <c r="F32">
        <v>0</v>
      </c>
      <c r="G32" t="s">
        <v>26</v>
      </c>
      <c r="H32" s="1" t="s">
        <v>53</v>
      </c>
      <c r="I32" t="str">
        <f t="shared" si="3"/>
        <v>'00002'</v>
      </c>
      <c r="J32" t="str">
        <f t="shared" si="4"/>
        <v>'CHK'</v>
      </c>
      <c r="K32" t="str">
        <f t="shared" si="5"/>
        <v>'002'</v>
      </c>
      <c r="L32">
        <f t="shared" si="6"/>
        <v>32</v>
      </c>
      <c r="M32">
        <f t="shared" si="7"/>
        <v>0</v>
      </c>
      <c r="N32">
        <f t="shared" si="8"/>
        <v>0</v>
      </c>
      <c r="O32" t="str">
        <f t="shared" si="9"/>
        <v>NULL</v>
      </c>
      <c r="P32" t="str">
        <f t="shared" si="10"/>
        <v>'もう何もないようです。'</v>
      </c>
      <c r="Q32" t="str">
        <f t="shared" si="11"/>
        <v>('00002','CHK','002',32,0,0,NULL,'もう何もないようです。'),</v>
      </c>
    </row>
    <row r="33" spans="1:17" x14ac:dyDescent="0.45">
      <c r="A33" s="1" t="s">
        <v>45</v>
      </c>
      <c r="B33" s="1" t="s">
        <v>23</v>
      </c>
      <c r="C33" s="1" t="s">
        <v>23</v>
      </c>
      <c r="D33">
        <v>0</v>
      </c>
      <c r="E33">
        <v>0</v>
      </c>
      <c r="F33">
        <v>0</v>
      </c>
      <c r="G33" t="s">
        <v>24</v>
      </c>
      <c r="H33" s="1" t="s">
        <v>44</v>
      </c>
      <c r="I33" t="str">
        <f t="shared" si="3"/>
        <v>'00003'</v>
      </c>
      <c r="J33" t="str">
        <f t="shared" si="4"/>
        <v>'000'</v>
      </c>
      <c r="K33" t="str">
        <f t="shared" si="5"/>
        <v>'000'</v>
      </c>
      <c r="L33">
        <f t="shared" si="6"/>
        <v>0</v>
      </c>
      <c r="M33">
        <f t="shared" si="7"/>
        <v>0</v>
      </c>
      <c r="N33">
        <f t="shared" si="8"/>
        <v>0</v>
      </c>
      <c r="O33" t="str">
        <f t="shared" si="9"/>
        <v>'getInitialCommands'</v>
      </c>
      <c r="P33" t="str">
        <f t="shared" si="10"/>
        <v>'^寝室です。'</v>
      </c>
      <c r="Q33" t="str">
        <f t="shared" si="11"/>
        <v>('00003','000','000',0,0,0,'getInitialCommands','^寝室です。'),</v>
      </c>
    </row>
    <row r="34" spans="1:17" x14ac:dyDescent="0.45">
      <c r="A34" s="1" t="s">
        <v>45</v>
      </c>
      <c r="B34" s="1" t="s">
        <v>6</v>
      </c>
      <c r="C34" s="1" t="s">
        <v>28</v>
      </c>
      <c r="D34">
        <v>0</v>
      </c>
      <c r="E34">
        <v>0</v>
      </c>
      <c r="F34">
        <v>0</v>
      </c>
      <c r="G34" t="s">
        <v>26</v>
      </c>
      <c r="H34" s="1" t="s">
        <v>47</v>
      </c>
      <c r="I34" t="str">
        <f t="shared" si="3"/>
        <v>'00003'</v>
      </c>
      <c r="J34" t="str">
        <f t="shared" si="4"/>
        <v>'CHK'</v>
      </c>
      <c r="K34" t="str">
        <f t="shared" si="5"/>
        <v>'001'</v>
      </c>
      <c r="L34">
        <f t="shared" si="6"/>
        <v>0</v>
      </c>
      <c r="M34">
        <f t="shared" si="7"/>
        <v>0</v>
      </c>
      <c r="N34">
        <f t="shared" si="8"/>
        <v>0</v>
      </c>
      <c r="O34" t="str">
        <f t="shared" si="9"/>
        <v>NULL</v>
      </c>
      <c r="P34" t="str">
        <f t="shared" si="10"/>
        <v>'枕の下を調べましたが、特に何もないようです。'</v>
      </c>
      <c r="Q34" t="str">
        <f t="shared" si="11"/>
        <v>('00003','CHK','001',0,0,0,NULL,'枕の下を調べましたが、特に何もないようです。'),</v>
      </c>
    </row>
    <row r="35" spans="1:17" x14ac:dyDescent="0.45">
      <c r="A35" s="1" t="s">
        <v>45</v>
      </c>
      <c r="B35" s="1" t="s">
        <v>6</v>
      </c>
      <c r="C35" s="1" t="s">
        <v>30</v>
      </c>
      <c r="D35">
        <v>0</v>
      </c>
      <c r="E35">
        <v>0</v>
      </c>
      <c r="F35">
        <v>0</v>
      </c>
      <c r="G35" t="s">
        <v>26</v>
      </c>
      <c r="H35" s="1" t="s">
        <v>48</v>
      </c>
      <c r="I35" t="str">
        <f t="shared" si="3"/>
        <v>'00003'</v>
      </c>
      <c r="J35" t="str">
        <f t="shared" si="4"/>
        <v>'CHK'</v>
      </c>
      <c r="K35" t="str">
        <f t="shared" si="5"/>
        <v>'002'</v>
      </c>
      <c r="L35">
        <f t="shared" si="6"/>
        <v>0</v>
      </c>
      <c r="M35">
        <f t="shared" si="7"/>
        <v>0</v>
      </c>
      <c r="N35">
        <f t="shared" si="8"/>
        <v>0</v>
      </c>
      <c r="O35" t="str">
        <f t="shared" si="9"/>
        <v>NULL</v>
      </c>
      <c r="P35" t="str">
        <f t="shared" si="10"/>
        <v>'ベッドの下を調べましたが、何もないようです。'</v>
      </c>
      <c r="Q35" t="str">
        <f t="shared" si="11"/>
        <v>('00003','CHK','002',0,0,0,NULL,'ベッドの下を調べましたが、何もないようです。'),</v>
      </c>
    </row>
    <row r="36" spans="1:17" x14ac:dyDescent="0.45">
      <c r="A36" s="1" t="s">
        <v>45</v>
      </c>
      <c r="B36" s="1" t="s">
        <v>6</v>
      </c>
      <c r="C36" s="1" t="s">
        <v>50</v>
      </c>
      <c r="D36">
        <v>0</v>
      </c>
      <c r="E36">
        <v>8</v>
      </c>
      <c r="F36">
        <v>0</v>
      </c>
      <c r="G36" t="s">
        <v>26</v>
      </c>
      <c r="H36" s="1" t="s">
        <v>49</v>
      </c>
      <c r="I36" t="str">
        <f t="shared" si="3"/>
        <v>'00003'</v>
      </c>
      <c r="J36" t="str">
        <f t="shared" si="4"/>
        <v>'CHK'</v>
      </c>
      <c r="K36" t="str">
        <f t="shared" si="5"/>
        <v>'003'</v>
      </c>
      <c r="L36">
        <f t="shared" si="6"/>
        <v>0</v>
      </c>
      <c r="M36">
        <f t="shared" si="7"/>
        <v>8</v>
      </c>
      <c r="N36">
        <f t="shared" si="8"/>
        <v>0</v>
      </c>
      <c r="O36" t="str">
        <f t="shared" si="9"/>
        <v>NULL</v>
      </c>
      <c r="P36" t="str">
        <f t="shared" si="10"/>
        <v>'暖炉の中に、本があります。@あなたは、本を手に入れました！'</v>
      </c>
      <c r="Q36" t="str">
        <f t="shared" si="11"/>
        <v>('00003','CHK','003',0,8,0,NULL,'暖炉の中に、本があります。@あなたは、本を手に入れました！'),</v>
      </c>
    </row>
    <row r="37" spans="1:17" x14ac:dyDescent="0.45">
      <c r="A37" s="1" t="s">
        <v>45</v>
      </c>
      <c r="B37" s="1" t="s">
        <v>6</v>
      </c>
      <c r="C37" s="1" t="s">
        <v>50</v>
      </c>
      <c r="D37">
        <v>8</v>
      </c>
      <c r="E37">
        <v>0</v>
      </c>
      <c r="F37">
        <v>0</v>
      </c>
      <c r="G37" t="s">
        <v>26</v>
      </c>
      <c r="H37" s="1" t="s">
        <v>53</v>
      </c>
      <c r="I37" t="str">
        <f t="shared" si="3"/>
        <v>'00003'</v>
      </c>
      <c r="J37" t="str">
        <f t="shared" si="4"/>
        <v>'CHK'</v>
      </c>
      <c r="K37" t="str">
        <f t="shared" si="5"/>
        <v>'003'</v>
      </c>
      <c r="L37">
        <f t="shared" si="6"/>
        <v>8</v>
      </c>
      <c r="M37">
        <f t="shared" si="7"/>
        <v>0</v>
      </c>
      <c r="N37">
        <f t="shared" si="8"/>
        <v>0</v>
      </c>
      <c r="O37" t="str">
        <f t="shared" si="9"/>
        <v>NULL</v>
      </c>
      <c r="P37" t="str">
        <f t="shared" si="10"/>
        <v>'もう何もないようです。'</v>
      </c>
      <c r="Q37" t="str">
        <f t="shared" si="11"/>
        <v>('00003','CHK','003',8,0,0,NULL,'もう何もないようです。'),</v>
      </c>
    </row>
    <row r="38" spans="1:17" x14ac:dyDescent="0.45">
      <c r="A38" s="1" t="s">
        <v>60</v>
      </c>
      <c r="B38" s="1" t="s">
        <v>23</v>
      </c>
      <c r="C38" s="1" t="s">
        <v>23</v>
      </c>
      <c r="D38">
        <v>0</v>
      </c>
      <c r="E38">
        <v>0</v>
      </c>
      <c r="F38">
        <v>0</v>
      </c>
      <c r="G38" t="s">
        <v>61</v>
      </c>
      <c r="H38" s="1" t="s">
        <v>59</v>
      </c>
      <c r="I38" t="str">
        <f t="shared" si="3"/>
        <v>'00004'</v>
      </c>
      <c r="J38" t="str">
        <f t="shared" si="4"/>
        <v>'000'</v>
      </c>
      <c r="K38" t="str">
        <f t="shared" si="5"/>
        <v>'000'</v>
      </c>
      <c r="L38">
        <f t="shared" si="6"/>
        <v>0</v>
      </c>
      <c r="M38">
        <f t="shared" si="7"/>
        <v>0</v>
      </c>
      <c r="N38">
        <f t="shared" si="8"/>
        <v>0</v>
      </c>
      <c r="O38" t="str">
        <f t="shared" si="9"/>
        <v>'clearGame'</v>
      </c>
      <c r="P38" t="str">
        <f t="shared" si="10"/>
        <v>'^あなたは宝物を手に入れたので、家に帰りました。@--おわり--'</v>
      </c>
      <c r="Q38" t="str">
        <f t="shared" si="11"/>
        <v>('00004','000','000',0,0,0,'clearGame','^あなたは宝物を手に入れたので、家に帰りました。@--おわり--'),</v>
      </c>
    </row>
  </sheetData>
  <sortState xmlns:xlrd2="http://schemas.microsoft.com/office/spreadsheetml/2017/richdata2" ref="A2:H38">
    <sortCondition ref="A2:A38"/>
  </sortState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SCENE</vt:lpstr>
      <vt:lpstr>COMMAND</vt:lpstr>
      <vt:lpstr>TARGET</vt:lpstr>
      <vt:lpstr>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oharakaname@gmail.com</dc:creator>
  <cp:lastModifiedBy>oharakaname@gmail.com</cp:lastModifiedBy>
  <dcterms:created xsi:type="dcterms:W3CDTF">2025-05-16T00:44:19Z</dcterms:created>
  <dcterms:modified xsi:type="dcterms:W3CDTF">2026-05-27T02:43:44Z</dcterms:modified>
</cp:coreProperties>
</file>